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isco D\backup\LIDIA\Rapporti SISM SIND 2024\SISM\"/>
    </mc:Choice>
  </mc:AlternateContent>
  <xr:revisionPtr revIDLastSave="0" documentId="8_{6A40B657-7586-4213-9F1D-BF0D4558CE4C}" xr6:coauthVersionLast="36" xr6:coauthVersionMax="36" xr10:uidLastSave="{00000000-0000-0000-0000-000000000000}"/>
  <bookViews>
    <workbookView xWindow="16560" yWindow="800" windowWidth="19200" windowHeight="17660" tabRatio="880" xr2:uid="{00000000-000D-0000-FFFF-FFFF00000000}"/>
  </bookViews>
  <sheets>
    <sheet name="Strutture" sheetId="11" r:id="rId1"/>
    <sheet name="Personale" sheetId="12" r:id="rId2"/>
    <sheet name="Prevalenza e incidenza" sheetId="5" r:id="rId3"/>
    <sheet name="Territoriale" sheetId="6" r:id="rId4"/>
    <sheet name="Residenziale" sheetId="7" r:id="rId5"/>
    <sheet name="Semiresidenziale" sheetId="8" r:id="rId6"/>
    <sheet name="Cont Assistenziale" sheetId="9" r:id="rId7"/>
    <sheet name="Altre fonti informative" sheetId="14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12" l="1"/>
  <c r="K17" i="12"/>
  <c r="J17" i="12"/>
  <c r="I17" i="12"/>
  <c r="G17" i="12"/>
  <c r="F17" i="12"/>
  <c r="E17" i="12"/>
  <c r="D17" i="12"/>
  <c r="C17" i="12"/>
  <c r="B17" i="12"/>
  <c r="Q16" i="12"/>
  <c r="P16" i="12"/>
  <c r="R16" i="12" s="1"/>
  <c r="N16" i="12"/>
  <c r="M16" i="12"/>
  <c r="O16" i="12" s="1"/>
  <c r="H16" i="12"/>
  <c r="R15" i="12"/>
  <c r="Q15" i="12"/>
  <c r="P15" i="12"/>
  <c r="O15" i="12"/>
  <c r="N15" i="12"/>
  <c r="M15" i="12"/>
  <c r="H15" i="12"/>
  <c r="Q14" i="12"/>
  <c r="R14" i="12" s="1"/>
  <c r="P14" i="12"/>
  <c r="N14" i="12"/>
  <c r="O14" i="12" s="1"/>
  <c r="M14" i="12"/>
  <c r="H14" i="12"/>
  <c r="Q13" i="12"/>
  <c r="P13" i="12"/>
  <c r="R13" i="12" s="1"/>
  <c r="N13" i="12"/>
  <c r="M13" i="12"/>
  <c r="O13" i="12" s="1"/>
  <c r="H13" i="12"/>
  <c r="P12" i="12"/>
  <c r="O12" i="12"/>
  <c r="N12" i="12"/>
  <c r="Q12" i="12" s="1"/>
  <c r="M12" i="12"/>
  <c r="H12" i="12"/>
  <c r="N11" i="12"/>
  <c r="Q11" i="12" s="1"/>
  <c r="M11" i="12"/>
  <c r="P11" i="12" s="1"/>
  <c r="R11" i="12" s="1"/>
  <c r="H11" i="12"/>
  <c r="N10" i="12"/>
  <c r="Q10" i="12" s="1"/>
  <c r="M10" i="12"/>
  <c r="P10" i="12" s="1"/>
  <c r="H10" i="12"/>
  <c r="Q9" i="12"/>
  <c r="N9" i="12"/>
  <c r="M9" i="12"/>
  <c r="P9" i="12" s="1"/>
  <c r="R9" i="12" s="1"/>
  <c r="H9" i="12"/>
  <c r="P8" i="12"/>
  <c r="R8" i="12" s="1"/>
  <c r="N8" i="12"/>
  <c r="Q8" i="12" s="1"/>
  <c r="M8" i="12"/>
  <c r="O8" i="12" s="1"/>
  <c r="H8" i="12"/>
  <c r="Q7" i="12"/>
  <c r="O7" i="12"/>
  <c r="N7" i="12"/>
  <c r="M7" i="12"/>
  <c r="P7" i="12" s="1"/>
  <c r="R7" i="12" s="1"/>
  <c r="H7" i="12"/>
  <c r="Q6" i="12"/>
  <c r="Q17" i="12" s="1"/>
  <c r="P6" i="12"/>
  <c r="P17" i="12" s="1"/>
  <c r="N6" i="12"/>
  <c r="N17" i="12" s="1"/>
  <c r="M6" i="12"/>
  <c r="O6" i="12" s="1"/>
  <c r="H6" i="12"/>
  <c r="H17" i="12" s="1"/>
  <c r="R10" i="12" l="1"/>
  <c r="R12" i="12"/>
  <c r="O11" i="12"/>
  <c r="O10" i="12"/>
  <c r="R6" i="12"/>
  <c r="R17" i="12" s="1"/>
  <c r="O9" i="12"/>
  <c r="O17" i="12" s="1"/>
  <c r="M17" i="12"/>
</calcChain>
</file>

<file path=xl/sharedStrings.xml><?xml version="1.0" encoding="utf-8"?>
<sst xmlns="http://schemas.openxmlformats.org/spreadsheetml/2006/main" count="2456" uniqueCount="276">
  <si>
    <t>TOTALE</t>
  </si>
  <si>
    <t>ITALIA</t>
  </si>
  <si>
    <t>Regione</t>
  </si>
  <si>
    <t>PIEMONTE</t>
  </si>
  <si>
    <t>VALLE D'AOSTA</t>
  </si>
  <si>
    <t>LOMBARDIA</t>
  </si>
  <si>
    <t>VENETO</t>
  </si>
  <si>
    <t>LIGURIA</t>
  </si>
  <si>
    <t>EMILIA 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</si>
  <si>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</si>
  <si>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</si>
  <si>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</si>
  <si>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</si>
  <si>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</si>
  <si>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</si>
  <si>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</si>
  <si>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</si>
  <si>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</si>
  <si>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</si>
  <si>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</si>
  <si>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</si>
  <si>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Totale</t>
  </si>
  <si>
    <t>FRIULI VENEZIA GIULIA</t>
  </si>
  <si>
    <t>PA BOLZANO</t>
  </si>
  <si>
    <t>PA TRENTO</t>
  </si>
  <si>
    <t>Maschio</t>
  </si>
  <si>
    <t>Femmina</t>
  </si>
  <si>
    <t>Fasce di età</t>
  </si>
  <si>
    <t>18-24</t>
  </si>
  <si>
    <t>25-34</t>
  </si>
  <si>
    <t>35-44</t>
  </si>
  <si>
    <t>45-54</t>
  </si>
  <si>
    <t>55-64</t>
  </si>
  <si>
    <t>65-75</t>
  </si>
  <si>
    <t>&gt;75</t>
  </si>
  <si>
    <t>Genere</t>
  </si>
  <si>
    <t>Alcolismo e tossicomanie</t>
  </si>
  <si>
    <t>Altri disturbi psichici</t>
  </si>
  <si>
    <t>Demenze e disturbi mentali organici</t>
  </si>
  <si>
    <t>Depressione</t>
  </si>
  <si>
    <t>Disturbi della personalità e del comportamento</t>
  </si>
  <si>
    <t>Mania e disturbi affettivi bipolari</t>
  </si>
  <si>
    <t>Ritardo mentale</t>
  </si>
  <si>
    <t>Schizofrenia e altre psicosi funzionali</t>
  </si>
  <si>
    <t>Sindromi nevrotiche e somatoformi</t>
  </si>
  <si>
    <t>Utenti strutture territoriali psichiatriche</t>
  </si>
  <si>
    <t>Totale Maschio</t>
  </si>
  <si>
    <t>Totale Femmina</t>
  </si>
  <si>
    <t>Fasce d'età</t>
  </si>
  <si>
    <t>Valore assoluto</t>
  </si>
  <si>
    <t xml:space="preserve">                                                 Utenti ammessi</t>
  </si>
  <si>
    <t>Strutture psichiatriche</t>
  </si>
  <si>
    <t>Strutture non psichiatriche</t>
  </si>
  <si>
    <t>Valore Assoluto</t>
  </si>
  <si>
    <t>Per 10.000 abitanti residenti</t>
  </si>
  <si>
    <t>CSM</t>
  </si>
  <si>
    <t>SRP1 - Struttura residenziale psichiatrica per trattamenti terapeutico riabilitativi a carattere intensivo</t>
  </si>
  <si>
    <t>SRP2 - Struttura residenziale psichiatrica per trattamenti terapeutico riabilitativi a carattere estensivo</t>
  </si>
  <si>
    <t>SRP3 - Struttura residenziale psichiatrica per interventi socio-riabilitativi con presenza di personale sanitario in fasce orarie (non più di 6 ore) o al bisogno (almeno nei giorni feriali)</t>
  </si>
  <si>
    <t xml:space="preserve">SRP3 - Struttura residenziale psichiatrica per interventi socio-riabilitativi con presenza giornaliera di personale sanitario nelle 12 ore diurne (almeno nei giorni feriali) </t>
  </si>
  <si>
    <t>SRP3 - Struttura residenziale psichiatrica per interventi socio-riabilitativi con presenza giornaliera di personale sanitario per 24 ore</t>
  </si>
  <si>
    <t xml:space="preserve">                                                 Utenti dimessi</t>
  </si>
  <si>
    <t>Giornate di degenza</t>
  </si>
  <si>
    <t xml:space="preserve">                                                 Utenti presenti</t>
  </si>
  <si>
    <t>DH territoriale</t>
  </si>
  <si>
    <t>Centro diurno</t>
  </si>
  <si>
    <t>Accessi erogati</t>
  </si>
  <si>
    <t>Entro 14 gg</t>
  </si>
  <si>
    <t>Entro 30 gg</t>
  </si>
  <si>
    <t>Gruppo Diagnostico</t>
  </si>
  <si>
    <t>MASCHI</t>
  </si>
  <si>
    <t>FEMMINE</t>
  </si>
  <si>
    <t>TOTALE FEMMINE</t>
  </si>
  <si>
    <t>TOTALE MASCHI</t>
  </si>
  <si>
    <t>65-74</t>
  </si>
  <si>
    <r>
      <rPr>
        <b/>
        <u/>
        <sz val="10"/>
        <color rgb="FF000000"/>
        <rFont val="Arial"/>
        <family val="2"/>
      </rPr>
      <t>&gt;</t>
    </r>
    <r>
      <rPr>
        <b/>
        <sz val="10"/>
        <color rgb="FF000000"/>
        <rFont val="Arial"/>
        <family val="2"/>
      </rPr>
      <t>75</t>
    </r>
  </si>
  <si>
    <t>REGIONE</t>
  </si>
  <si>
    <t>Utenti ammessi</t>
  </si>
  <si>
    <t>Utenti presenti</t>
  </si>
  <si>
    <t>ANAGRAFICA DSM</t>
  </si>
  <si>
    <t>TERRITORIALE</t>
  </si>
  <si>
    <t>RESIDENZIALE</t>
  </si>
  <si>
    <t>SEMIRESIDENZIALE</t>
  </si>
  <si>
    <t>N. DSM</t>
  </si>
  <si>
    <t>N. Strutture</t>
  </si>
  <si>
    <t>Per 100.000 abitanti</t>
  </si>
  <si>
    <t>TRENTO</t>
  </si>
  <si>
    <t>STR. PUBBLICHE ED EQUIPARATE</t>
  </si>
  <si>
    <t>TOT POSTI LETTO DI DEGENZA ORDINARIA</t>
  </si>
  <si>
    <t xml:space="preserve">TOT POSTI LETTO DI DAY HOSPITAL </t>
  </si>
  <si>
    <t>POSTI LETTO DI DEGENZA ORDINARIA PER 100.000 AB.</t>
  </si>
  <si>
    <t>POSTI LETTO DI DAY HOSPITAL PER 100.000 AB.</t>
  </si>
  <si>
    <t>Numero reparti</t>
  </si>
  <si>
    <t>Posti letto di degenza ordinaria</t>
  </si>
  <si>
    <t>Posti letto di Day Hospital</t>
  </si>
  <si>
    <t>Numero strutture</t>
  </si>
  <si>
    <t>VALLE D`AOSTA</t>
  </si>
  <si>
    <t>BOLZANO</t>
  </si>
  <si>
    <t>QUALIFICA</t>
  </si>
  <si>
    <t>Numero dipendenti</t>
  </si>
  <si>
    <t>NUMERO CONVENZIONATI</t>
  </si>
  <si>
    <t xml:space="preserve">TOTALE  </t>
  </si>
  <si>
    <t>TEMPO PIENO</t>
  </si>
  <si>
    <t>PART-TIME</t>
  </si>
  <si>
    <t>FINO AL 50%</t>
  </si>
  <si>
    <t>OLTRE IL 50%</t>
  </si>
  <si>
    <t>MEDICO</t>
  </si>
  <si>
    <t>DI CUI PSICHIATRI</t>
  </si>
  <si>
    <t>PSICOLOGO</t>
  </si>
  <si>
    <t>PERSONALE INFERMIERISTICO</t>
  </si>
  <si>
    <t>EDUCATORE PROFESSIONALE</t>
  </si>
  <si>
    <t>OTA/O.S.S.</t>
  </si>
  <si>
    <t>ASSISTENTE SOCIALE</t>
  </si>
  <si>
    <t>SOCIOLOGO</t>
  </si>
  <si>
    <t>PERSONALE AMMINISTRATIVO</t>
  </si>
  <si>
    <t>ALTRO</t>
  </si>
  <si>
    <t>TECNICO DELLA RIABILITAZIONE PSICHIATRICA</t>
  </si>
  <si>
    <t>DA TUTTI I REPARTI*</t>
  </si>
  <si>
    <t>DA REPARTI DI PSICHIATRIA**</t>
  </si>
  <si>
    <t>Regime ordinario</t>
  </si>
  <si>
    <t>Regime diurno</t>
  </si>
  <si>
    <t>Dimissioni</t>
  </si>
  <si>
    <t>Degenza media</t>
  </si>
  <si>
    <t>Accessi</t>
  </si>
  <si>
    <t>Numero medio accessi</t>
  </si>
  <si>
    <t>Regioni</t>
  </si>
  <si>
    <t xml:space="preserve">Dimissioni </t>
  </si>
  <si>
    <t>Riammissioni entro
30 giorni</t>
  </si>
  <si>
    <t>% riammissioni entro
30 giorni</t>
  </si>
  <si>
    <t>Riammissioni entro
7 giorni</t>
  </si>
  <si>
    <t>% riammissioni entro
7 giorni</t>
  </si>
  <si>
    <t xml:space="preserve">ASS. TERRITORIALE </t>
  </si>
  <si>
    <t>ASS. OSPEDALIERA</t>
  </si>
  <si>
    <t xml:space="preserve">AMBULATORIALE E DOMICILIARE                            </t>
  </si>
  <si>
    <t xml:space="preserve">SEMIRESIDENZIALE </t>
  </si>
  <si>
    <t xml:space="preserve">RESIDENZIALE                                             </t>
  </si>
  <si>
    <t>TOTALE  TERRITORIALE</t>
  </si>
  <si>
    <t>REMUNERAZIONE TEORICA* E ONERE DELLA DEGENZA DELLE DIMISSIONI DA REPARTO DI PSICHIATRIA</t>
  </si>
  <si>
    <t>Fascia di età</t>
  </si>
  <si>
    <t>Totale complessivo</t>
  </si>
  <si>
    <t>Non specificato</t>
  </si>
  <si>
    <t>75 anni e oltre</t>
  </si>
  <si>
    <t>Totale Maschi</t>
  </si>
  <si>
    <t>Totale Femmine</t>
  </si>
  <si>
    <t>Totale non specificato</t>
  </si>
  <si>
    <t>Altri reparti</t>
  </si>
  <si>
    <t>Numero di confezioni</t>
  </si>
  <si>
    <t>Spesa lorda (in €)</t>
  </si>
  <si>
    <t>Numero Trattati con antidepressivi  (tasso * 1.000 ab. Adulti)</t>
  </si>
  <si>
    <t>DDD*1.000 ab.die</t>
  </si>
  <si>
    <t>Numero Trattati con antipsicotici  (tasso * 1.000 ab. Adulti)</t>
  </si>
  <si>
    <t>Numero Trattati con litio (tasso * 1.000 ab. Adulti)</t>
  </si>
  <si>
    <t>Numero trattati con antidepressivi (tasso * 1.000 ab.adulti)</t>
  </si>
  <si>
    <t>Numero trattati con antipsicotici (tasso * 1.000 ab.adulti)</t>
  </si>
  <si>
    <t>Numero trattati con litio (Tasso * 1000 ab.adulti)</t>
  </si>
  <si>
    <t>Canali di erogazione</t>
  </si>
  <si>
    <t xml:space="preserve">Numero trattati con antidepressivi, antipsicotici e litio </t>
  </si>
  <si>
    <t>Convenzionata</t>
  </si>
  <si>
    <t>Distribuzione diretta</t>
  </si>
  <si>
    <t>Tasso</t>
  </si>
  <si>
    <t>Prestazioni erogate</t>
  </si>
  <si>
    <t>Prestazioni per utente</t>
  </si>
  <si>
    <t xml:space="preserve"> </t>
  </si>
  <si>
    <t>POSTI LETTO  PER 100.000 AB.</t>
  </si>
  <si>
    <t>Posti</t>
  </si>
  <si>
    <t>Per 10.000 abitanti</t>
  </si>
  <si>
    <t>Gruppi diagnostici diagnosi principale</t>
  </si>
  <si>
    <t>Istituti pubblici (1)</t>
  </si>
  <si>
    <t>Istituti pubblici (2)</t>
  </si>
  <si>
    <t>Istituti privati accreditati (1)</t>
  </si>
  <si>
    <t>Istituti privati accreditati (2)</t>
  </si>
  <si>
    <t>(*)   Sono state considerate tutte le dimissioni da reparto di psichiatria (codice disciplina ospedaliera "40")</t>
  </si>
  <si>
    <t>Istituti pubblici (1):  Aziende ospedaliere, A.O.U. e Policlinici pubblici, IRCCS Pubblici e fondazioni pubbliche</t>
  </si>
  <si>
    <t>Istituti pubblici (2):  Ospedali a gestione diretta</t>
  </si>
  <si>
    <t>Istituti privati accreditati (1):  Policlinici privati, IRCCS Privati e Fondazioni private, Ospedali classificati, Istituti qualificati presidi USL, Enti di ricerca</t>
  </si>
  <si>
    <t>Istituti privati accreditati (2):  Case di cura private accreditate</t>
  </si>
  <si>
    <t>CASE DI CURA PRIVATE ACCREDITATE</t>
  </si>
  <si>
    <t>Assenza di patologia psichiatrica</t>
  </si>
  <si>
    <t>Diagnosi in attesa di definizione</t>
  </si>
  <si>
    <r>
      <rPr>
        <b/>
        <u/>
        <sz val="9"/>
        <color rgb="FF000000"/>
        <rFont val="Arial"/>
        <family val="2"/>
      </rPr>
      <t>&gt;</t>
    </r>
    <r>
      <rPr>
        <b/>
        <sz val="9"/>
        <color rgb="FF000000"/>
        <rFont val="Arial"/>
        <family val="2"/>
      </rPr>
      <t>75</t>
    </r>
  </si>
  <si>
    <t xml:space="preserve">Per 10.000 abitanti </t>
  </si>
  <si>
    <t>T OTALE</t>
  </si>
  <si>
    <t xml:space="preserve">TOTALE </t>
  </si>
  <si>
    <t xml:space="preserve">Totale </t>
  </si>
  <si>
    <t>Reparto di degenza</t>
  </si>
  <si>
    <t>%</t>
  </si>
  <si>
    <r>
      <t xml:space="preserve">Spesa lorda (in </t>
    </r>
    <r>
      <rPr>
        <b/>
        <sz val="9"/>
        <rFont val="Calibri"/>
        <family val="2"/>
      </rPr>
      <t>€)</t>
    </r>
  </si>
  <si>
    <t>DDD * 1000 ab. die</t>
  </si>
  <si>
    <r>
      <t xml:space="preserve">Spesa lorda (in </t>
    </r>
    <r>
      <rPr>
        <b/>
        <sz val="9"/>
        <rFont val="Calibri"/>
        <family val="2"/>
      </rPr>
      <t>€</t>
    </r>
    <r>
      <rPr>
        <b/>
        <sz val="9"/>
        <rFont val="Arial"/>
        <family val="2"/>
      </rPr>
      <t>)</t>
    </r>
  </si>
  <si>
    <t>NUMERO DIPENDENTI</t>
  </si>
  <si>
    <t>Personale DSM</t>
  </si>
  <si>
    <t>Personale delle strutture convenzionate con DSM</t>
  </si>
  <si>
    <t>Dipendenti</t>
  </si>
  <si>
    <t>Convenzionati</t>
  </si>
  <si>
    <t>0-17 Totale</t>
  </si>
  <si>
    <t>25-44 Totale</t>
  </si>
  <si>
    <t>45-64 Totale</t>
  </si>
  <si>
    <t>65-74 Totale</t>
  </si>
  <si>
    <t>DI CUI PSICHIATRIA</t>
  </si>
  <si>
    <t>Disturbi della personalita' e del comportamento</t>
  </si>
  <si>
    <t>18-24 Totale</t>
  </si>
  <si>
    <t xml:space="preserve"> Mania e disturbi affettivi bipolari</t>
  </si>
  <si>
    <t>Psichiatria</t>
  </si>
  <si>
    <t>Medicina generale</t>
  </si>
  <si>
    <t xml:space="preserve">Pediatria </t>
  </si>
  <si>
    <t>Neurologia</t>
  </si>
  <si>
    <t xml:space="preserve">Geriatria </t>
  </si>
  <si>
    <t xml:space="preserve">Chirurgia generale </t>
  </si>
  <si>
    <t xml:space="preserve">Ostetricia e ginecologia </t>
  </si>
  <si>
    <t>Astanteria</t>
  </si>
  <si>
    <t>Ortopedia e traumatologia</t>
  </si>
  <si>
    <t>Cardiologia</t>
  </si>
  <si>
    <t>PROV. AUTON. BOLZANO</t>
  </si>
  <si>
    <t>PROV. AUTON. TRENTO</t>
  </si>
  <si>
    <t>Il totale comprende i  casi N.D.</t>
  </si>
  <si>
    <t>-</t>
  </si>
  <si>
    <t xml:space="preserve">Allergologia </t>
  </si>
  <si>
    <r>
      <t xml:space="preserve">Tabella 12.5.1 Distribuzione del costo relativo all'assistenza psichiatrica per setting assistenziale
</t>
    </r>
    <r>
      <rPr>
        <i/>
        <sz val="11"/>
        <color theme="0"/>
        <rFont val="Arial"/>
        <family val="2"/>
        <scheme val="minor"/>
      </rPr>
      <t xml:space="preserve"> Fonte:  NSIS - Flussi economici Modello LA  -  (dati in migliaia di euro)</t>
    </r>
  </si>
  <si>
    <r>
      <t xml:space="preserve">Tabella 5.1 Strutture attive pubbliche e private 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</si>
  <si>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5.2 Strutture psichiatriche attive pubbliche e private
</t>
    </r>
    <r>
      <rPr>
        <i/>
        <sz val="11"/>
        <rFont val="Arial"/>
        <family val="2"/>
        <scheme val="minor"/>
      </rPr>
      <t xml:space="preserve"> Fonte: NSIS - Sistema informativo salute mentale (SISM) - anno 2024</t>
    </r>
  </si>
  <si>
    <r>
      <t xml:space="preserve">Tabella 5.3   Posti in Strutture psichiatriche attive pubbliche e private
</t>
    </r>
    <r>
      <rPr>
        <i/>
        <sz val="11"/>
        <color theme="0"/>
        <rFont val="Arial"/>
        <family val="2"/>
        <scheme val="minor"/>
      </rPr>
      <t>Fonte: Modelli di rilevazione del dati delle attività gestionali delle strutture  sanitarie (DM 5/12/2016) - STS24 - anno 2024</t>
    </r>
  </si>
  <si>
    <r>
      <t xml:space="preserve">Tabella 5.4 Strutture ospedaliere psichiatriche attive pubbliche e private e relativi posti letto
</t>
    </r>
    <r>
      <rPr>
        <i/>
        <sz val="11"/>
        <color theme="0"/>
        <rFont val="Arial"/>
        <family val="2"/>
        <scheme val="minor"/>
      </rPr>
      <t xml:space="preserve"> Fonte: Modelli di rilevazione del dati delle attività gestionali delle strutture  sanitarie (DM 5/12/2016) e succ. - HSP 12 e 13 - anno 2024</t>
    </r>
  </si>
  <si>
    <t>Femmine</t>
  </si>
  <si>
    <t>Maschi</t>
  </si>
  <si>
    <r>
      <t xml:space="preserve">Tabella 6.1 Personale del dipartimento di salute mentale e delle strutture convenzionate per qualifica e tipo di rapporto di lavoro
</t>
    </r>
    <r>
      <rPr>
        <i/>
        <sz val="11"/>
        <color theme="0"/>
        <rFont val="Arial"/>
        <family val="2"/>
        <scheme val="minor"/>
      </rPr>
      <t xml:space="preserve"> Fonte: Conto annuale - Tabella 1D al 31/12/2023</t>
    </r>
    <r>
      <rPr>
        <b/>
        <sz val="11"/>
        <color theme="0"/>
        <rFont val="Arial"/>
        <family val="2"/>
        <scheme val="minor"/>
      </rPr>
      <t xml:space="preserve"> e Tab. 1Dbis al 31/12/2023</t>
    </r>
  </si>
  <si>
    <r>
      <t xml:space="preserve">Tabella 6.2 Personale del dipartimento di salute mentale per qualifica e tipo di rapporto di lavoro
</t>
    </r>
    <r>
      <rPr>
        <i/>
        <sz val="11"/>
        <color theme="0"/>
        <rFont val="Arial"/>
        <family val="2"/>
        <scheme val="minor"/>
      </rPr>
      <t xml:space="preserve"> Fonte: Conto annuale - Tabella 1D al 31/12/2023</t>
    </r>
  </si>
  <si>
    <r>
      <t xml:space="preserve">Tabella 6.3 Personale del dipartimento di salute mentale per qualifica (valori assoluti)
</t>
    </r>
    <r>
      <rPr>
        <i/>
        <sz val="11"/>
        <color theme="0"/>
        <rFont val="Arial"/>
        <family val="2"/>
        <scheme val="minor"/>
      </rPr>
      <t xml:space="preserve"> Fonte: Conto annuale - Tabella 1D al 31/12/2023</t>
    </r>
  </si>
  <si>
    <r>
      <t xml:space="preserve">Tabella 6.4 Personale delle strutture sanitarie convenzionate con il dipartimento di salute mentale per qualifica e tipo di rapporto di lavoro
</t>
    </r>
    <r>
      <rPr>
        <i/>
        <sz val="11"/>
        <color theme="0"/>
        <rFont val="Arial"/>
        <family val="2"/>
        <scheme val="minor"/>
      </rPr>
      <t xml:space="preserve"> Fonte: Conto annuale - Tabella 1Dbis al 31/12/2023</t>
    </r>
  </si>
  <si>
    <r>
      <t xml:space="preserve">Tabella 7.1.1 Prevalenza degli utenti trattati - tasso standardizzato per 10.000 abitanti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</si>
  <si>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7.1.2 Prevalenza degli utenti trattati per sesso e fasce d'età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</si>
  <si>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7.1.3 Prevalenza degli utenti trattati per gruppo diagnostico - tassi per 10.000 abitanti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</si>
  <si>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7.2.2 - Incidenza degli utenti trattati (nuovi utenti) per sesso  – tasso standardizzato per 10.000 abitanti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</si>
  <si>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7.2.2 - Incidenza degli utenti trattati (nuovi utenti) per sesso e fasce di età – valori assoluti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</si>
  <si>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7.2.3 Incidenza degli utenti trattati (nuovi utenti) per gruppo diagnostico - tassi per 10.000 abitanti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</si>
  <si>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7.2.4 Incidenza degli utenti trattati (first ever) - tassi standardizzati per 10.000 abitanti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</si>
  <si>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7.2.5 Incidenza degli utenti trattati (first ever) per sesso e fasce d'età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</si>
  <si>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7.2.6 Incidenza degli utenti trattati (first ever) per gruppo diagnostico - tassi per 10.000 abitanti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</si>
  <si>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8.1 Utenti presenti in strutture territoriali psichiatriche - tassi standardizzati per 10.000 abitanti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</si>
  <si>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8.2 Utenti presenti in strutture territoriali psichiatriche per gruppo diagnostico, sesso e fasce d'età - tassi per 10.000 abitanti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</si>
  <si>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8.3 Prestazioni erogate in strutture territoriali psichiatriche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</si>
  <si>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9.1 Utenti presenti in strutture residenziali psichiatriche per tipo struttura residenziale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</si>
  <si>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9.2 Utenti presenti in strutture residenziali psichiatriche per gruppo diagnostico, sesso e fasce d'età - tassi per 10.000 abitanti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</si>
  <si>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9.3 Giornate di degenza in strutture residenziali psichiatriche per tipo struttura residenziale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</si>
  <si>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9.4 Durata media del trattamento per sesso e fasce d'età 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</si>
  <si>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9.5 Utenti ammessi in strutture residenziali psichiatriche per tipologia di struttura erogante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</si>
  <si>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9.6 Utenti ammessi in strutture residenziali psichiatriche per tipo struttura residenziale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</si>
  <si>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9.7 Utenti dimessi da strutture residenziali psichiatriche per tipologia di struttura erogante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</si>
  <si>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9.8 Utenti dimessi da strutture residenziali psichiatriche per tipo struttura residenziale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</si>
  <si>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10.1 Utenti presenti in strutture semiresidenziali psichiatriche per tipo di struttura erogante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</si>
  <si>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10.2 Utenti presenti in strutture semiresidenziali psichiatriche per tipo di struttura residenziale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</si>
  <si>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10.3 Utenti presenti in strutture semiresidenziali psichiatriche per gruppo diagnostico, sesso e fasce di età - tassi per 10.000 abitanti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</si>
  <si>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10.4 Accessi erogati in strutture semiresidenziali psichiatriche per tipo di struttura residenziale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</si>
  <si>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10.5 Accessi erogati in strutture semiresidenziali psichiatriche per tipo di struttura erogante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</si>
  <si>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11.1 Pazienti che ricevono una visita psichiatrica entro 14 o 30 giorni dal ricovero psichiatrico (%)
</t>
    </r>
    <r>
      <rPr>
        <i/>
        <sz val="11"/>
        <color theme="0"/>
        <rFont val="Arial"/>
        <family val="2"/>
        <scheme val="minor"/>
      </rPr>
      <t xml:space="preserve"> Fonte: NSIS - Sistema informativo salute mentale (SISM) - anno 2024</t>
    </r>
  </si>
  <si>
    <r>
      <t xml:space="preserve">Tabella 12.1.1 Distribuzione regionale delle dimissioni con diagnosi di disturbo mentale per unità di dimissione (strutture pubbliche e private)
</t>
    </r>
    <r>
      <rPr>
        <i/>
        <sz val="11"/>
        <color theme="0"/>
        <rFont val="Arial"/>
        <family val="2"/>
        <scheme val="minor"/>
      </rPr>
      <t xml:space="preserve"> Fonte:  NSIS - Scheda di dimissione ospedaliera (SDO) - anno 2024</t>
    </r>
  </si>
  <si>
    <r>
      <t xml:space="preserve">Tabella 12.3.1  Distribuzione regionale dei trattamenti sanitari obbligatori (TSO) 
</t>
    </r>
    <r>
      <rPr>
        <i/>
        <sz val="11"/>
        <color theme="0"/>
        <rFont val="Arial"/>
        <family val="2"/>
        <scheme val="minor"/>
      </rPr>
      <t xml:space="preserve"> Fonte:  NSIS - Scheda di dimissione ospedaliera (SDO) - anni  2015 - 2024</t>
    </r>
  </si>
  <si>
    <r>
      <t xml:space="preserve">Tabella 12.3.2 Trattamenti sanitari obbligatori (TSO) - tassi per 10.000 abitanti
</t>
    </r>
    <r>
      <rPr>
        <i/>
        <sz val="11"/>
        <color theme="0"/>
        <rFont val="Arial"/>
        <family val="2"/>
        <scheme val="minor"/>
      </rPr>
      <t xml:space="preserve"> Fonte:  NSIS - Scheda di dimissione ospedaliera (SDO) - anni  2024</t>
    </r>
  </si>
  <si>
    <r>
      <t xml:space="preserve">Tabella 12.4.1 Distribuzione regionale delle dimissioni e delle riammissioni non programmate per disturbi mentali nei reparti di psichiatria delle strutture ospedaliere pubbliche
</t>
    </r>
    <r>
      <rPr>
        <i/>
        <sz val="11"/>
        <color theme="0"/>
        <rFont val="Arial"/>
        <family val="2"/>
        <scheme val="minor"/>
      </rPr>
      <t xml:space="preserve"> Fonte:  NSIS - Scheda di dimissione ospedaliera (SDO) - annio 2024</t>
    </r>
  </si>
  <si>
    <t>TAB.12.2.1 - Distribuzione per struttura di ricovero e gruppi diagnostici delle dimissioni (età 18 anni e più) e relativa degenza da reparto di psichiatria (*)  - Anno 2024</t>
  </si>
  <si>
    <t>TAB.12.1.2 - Distribuzione per struttura di ricovero e gruppi diagnostici delle dimissioni (età 18 anni e più) e relativa degenza da reparto di psichiatria (*)   - MASCHI - Anno 2024</t>
  </si>
  <si>
    <t>TAB.12.1.2 - Distribuzione per struttura di ricovero e gruppi diagnostici delle dimissioni (età 18 anni e più) e relativa degenza da reparto di psichiatria (*)   - FEMMINE - Anno 2024</t>
  </si>
  <si>
    <t>Fonte - L.A. 2024; SDO 2024</t>
  </si>
  <si>
    <t xml:space="preserve">CALABRIA </t>
  </si>
  <si>
    <r>
      <t xml:space="preserve">Tabella 12.6.1 Accessi in pronto soccorso per classi d'età e sesso per gruppo diagnostico
</t>
    </r>
    <r>
      <rPr>
        <i/>
        <sz val="11"/>
        <color theme="0"/>
        <rFont val="Arial"/>
        <family val="2"/>
        <scheme val="minor"/>
      </rPr>
      <t xml:space="preserve"> Fonte:  NSIS - Sistema informativo emergenza urgenza (EMUR  - PS) -anno 2024</t>
    </r>
  </si>
  <si>
    <r>
      <t xml:space="preserve">Tabella 12.6.2 Accessi in pronto soccorso per gruppo diagnostico e regione
</t>
    </r>
    <r>
      <rPr>
        <i/>
        <sz val="11"/>
        <color theme="0"/>
        <rFont val="Arial"/>
        <family val="2"/>
        <scheme val="minor"/>
      </rPr>
      <t xml:space="preserve"> Fonte:  NSIS - Sistema informativo emergenza urgenza (EMUR  - PS) -anno 2024</t>
    </r>
  </si>
  <si>
    <t xml:space="preserve">Tabella 12.6.3 - Accessi in pronto soccorso per gruppo diagnostico, regione e genere                                                                                                                                                                                                                   Fonte:  NSIS - Sistema informativo emergenza urgenza (EMUR  - PS) -anno 2024                                                                              </t>
  </si>
  <si>
    <t>Unità coronarica</t>
  </si>
  <si>
    <t>Neuropsichiatria infantile</t>
  </si>
  <si>
    <r>
      <t xml:space="preserve">Tabella 12.6.4 Accessi in pronto soccorso che esitano in ricovero con indicazione del reparto raggruppati per gruppo diagnostico
</t>
    </r>
    <r>
      <rPr>
        <i/>
        <sz val="11"/>
        <color theme="0"/>
        <rFont val="Arial"/>
        <family val="2"/>
        <scheme val="minor"/>
      </rPr>
      <t xml:space="preserve"> Fonte:  NSIS - Sistema informativo emergenza urgenza (EMUR  - PS) -anno 2024</t>
    </r>
  </si>
  <si>
    <r>
      <t xml:space="preserve">Tabella 12.7.1.1 Antidepressivi - numero di confezioni, spesa lorda e utenti trattati - in regime convenzionato
</t>
    </r>
    <r>
      <rPr>
        <i/>
        <sz val="11"/>
        <color theme="0"/>
        <rFont val="Arial"/>
        <family val="2"/>
        <scheme val="minor"/>
      </rPr>
      <t xml:space="preserve"> Fonte:  NSIS - Flusso ex art. 50 legge 326/2013 - anno 2024</t>
    </r>
  </si>
  <si>
    <r>
      <t xml:space="preserve">Tabella 12.7.1.2 Antipsicotici - numero di confezioni, spesa lorda e utenti trattati - in regime convenzionato
</t>
    </r>
    <r>
      <rPr>
        <i/>
        <sz val="11"/>
        <color theme="0"/>
        <rFont val="Arial"/>
        <family val="2"/>
        <scheme val="minor"/>
      </rPr>
      <t xml:space="preserve"> Fonte:  NSIS - Flusso ex art. 50 legge 326/2013 - anno 2024</t>
    </r>
  </si>
  <si>
    <r>
      <t xml:space="preserve">Tabella 12.7.1.2 Litio - numero di confezioni, spesa lorda e utenti trattati - in regime convenzionato
</t>
    </r>
    <r>
      <rPr>
        <i/>
        <sz val="11"/>
        <color theme="0"/>
        <rFont val="Arial"/>
        <family val="2"/>
        <scheme val="minor"/>
      </rPr>
      <t xml:space="preserve"> Fonte:  NSIS - Flusso ex art. 50 legge 326/2013 - anno 2024</t>
    </r>
  </si>
  <si>
    <r>
      <t xml:space="preserve">Tabella 12.7.2.1 Antidepressivi - numero di confezioni, spesa lorda e utenti trattati - in distribuzione diretta
</t>
    </r>
    <r>
      <rPr>
        <i/>
        <sz val="11"/>
        <color theme="0"/>
        <rFont val="Arial"/>
        <family val="2"/>
        <scheme val="minor"/>
      </rPr>
      <t xml:space="preserve"> Fonte:  NSIS - Flusso della distribuzione diretta - DM del 31 luglio 2007- anno 2024</t>
    </r>
  </si>
  <si>
    <r>
      <t xml:space="preserve">Tabella 12.7.2.2 Antipsicotici - numero di confezioni, spesa lorda e utent trattati - in distribuzione diretta
</t>
    </r>
    <r>
      <rPr>
        <i/>
        <sz val="11"/>
        <color theme="0"/>
        <rFont val="Arial"/>
        <family val="2"/>
        <scheme val="minor"/>
      </rPr>
      <t xml:space="preserve"> Fonte:  NSIS - Flusso della distribuzione diretta - DM del 31 luglio 2007- anno 2024</t>
    </r>
  </si>
  <si>
    <r>
      <t xml:space="preserve">Tabella 12.7.2.3 Litio - numero di confezioni, spesa lorda e utenti trattati - in distribuzione diretta
</t>
    </r>
    <r>
      <rPr>
        <i/>
        <sz val="11"/>
        <color theme="0"/>
        <rFont val="Arial"/>
        <family val="2"/>
        <scheme val="minor"/>
      </rPr>
      <t xml:space="preserve"> Fonte:  NSIS - Flusso della distribuzione diretta - DM del 31 luglio 2007- anno 2024</t>
    </r>
  </si>
  <si>
    <r>
      <t xml:space="preserve">Tabella 12.7.2.4 Numero trattati, numero confezioni e spesa lorda per forma di erogazione
</t>
    </r>
    <r>
      <rPr>
        <i/>
        <sz val="11"/>
        <color theme="0"/>
        <rFont val="Arial"/>
        <family val="2"/>
        <scheme val="minor"/>
      </rPr>
      <t xml:space="preserve"> Fonte:  NSIS -   Fonte:  NSIS - Flusso ex art. 50 legge 326/2013 ; Flusso della distribuzione diretta - DM del 31 luglio 2007- anno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</si>
</sst>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_(* #,##0_);_(* \(#,##0\);_(* &quot;-&quot;_);_(@_)"/>
    <numFmt numFmtId="168" formatCode="_(* #,##0_);_(* \(#,##0\);_(* &quot;-&quot;??_);_(@_)"/>
    <numFmt numFmtId="169" formatCode="_(* #,##0.0_);_(* \(#,##0.0\);_(* &quot;-&quot;_);_(@_)"/>
    <numFmt numFmtId="170" formatCode="_-* #,##0.0_-;\-* #,##0.0_-;_-* &quot;-&quot;??_-;_-@_-"/>
    <numFmt numFmtId="171" formatCode="0.0"/>
    <numFmt numFmtId="172" formatCode="#,##0.0"/>
    <numFmt numFmtId="173" formatCode="#,##0_ ;\-#,##0\ "/>
  </numFmts>
  <fonts count="5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0"/>
      <name val="Arial"/>
      <family val="2"/>
      <scheme val="minor"/>
    </font>
    <font>
      <sz val="10"/>
      <color rgb="FF000000"/>
      <name val="Arial"/>
      <family val="2"/>
    </font>
    <font>
      <b/>
      <sz val="9"/>
      <color theme="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theme="1"/>
      <name val="Arial"/>
      <family val="2"/>
      <scheme val="minor"/>
    </font>
    <font>
      <b/>
      <u/>
      <sz val="10"/>
      <color rgb="FF000000"/>
      <name val="Arial"/>
      <family val="2"/>
    </font>
    <font>
      <b/>
      <sz val="11"/>
      <color theme="0"/>
      <name val="Arial"/>
      <family val="2"/>
      <scheme val="minor"/>
    </font>
    <font>
      <i/>
      <sz val="11"/>
      <color theme="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  <scheme val="minor"/>
    </font>
    <font>
      <sz val="9"/>
      <name val="Arial"/>
      <family val="2"/>
    </font>
    <font>
      <b/>
      <sz val="9"/>
      <name val="Arial"/>
      <family val="2"/>
      <scheme val="minor"/>
    </font>
    <font>
      <b/>
      <sz val="9"/>
      <color rgb="FF000000"/>
      <name val="Arial"/>
      <family val="2"/>
    </font>
    <font>
      <b/>
      <u/>
      <sz val="9"/>
      <color rgb="FF000000"/>
      <name val="Arial"/>
      <family val="2"/>
    </font>
    <font>
      <b/>
      <sz val="9"/>
      <color indexed="8"/>
      <name val="Arial"/>
      <family val="2"/>
    </font>
    <font>
      <sz val="9"/>
      <color rgb="FF000000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Calibri"/>
      <family val="2"/>
    </font>
    <font>
      <sz val="9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6"/>
      <color indexed="8"/>
      <name val="Arial"/>
      <family val="2"/>
    </font>
    <font>
      <b/>
      <sz val="7"/>
      <color rgb="FF000000"/>
      <name val="Arial"/>
      <family val="2"/>
      <scheme val="minor"/>
    </font>
    <font>
      <b/>
      <sz val="6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8"/>
      <color rgb="FF000000"/>
      <name val="Arial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i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</font>
    <font>
      <sz val="11"/>
      <color rgb="FFFF0000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CCC0DA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FFFFFF"/>
      </patternFill>
    </fill>
    <fill>
      <patternFill patternType="solid">
        <fgColor rgb="FFCCC0DA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9"/>
      </patternFill>
    </fill>
    <fill>
      <patternFill patternType="solid">
        <fgColor rgb="FF60497A"/>
        <bgColor indexed="64"/>
      </patternFill>
    </fill>
    <fill>
      <patternFill patternType="solid">
        <fgColor rgb="FFCCC0DA"/>
        <bgColor indexed="18"/>
      </patternFill>
    </fill>
  </fills>
  <borders count="112">
    <border>
      <left/>
      <right/>
      <top/>
      <bottom/>
      <diagonal/>
    </border>
    <border>
      <left style="thin">
        <color rgb="FF60497A"/>
      </left>
      <right style="thin">
        <color rgb="FF60497A"/>
      </right>
      <top style="thin">
        <color rgb="FF60497A"/>
      </top>
      <bottom style="thin">
        <color rgb="FF60497A"/>
      </bottom>
      <diagonal/>
    </border>
    <border>
      <left style="medium">
        <color rgb="FF60497A"/>
      </left>
      <right style="thin">
        <color rgb="FF60497A"/>
      </right>
      <top style="medium">
        <color rgb="FF60497A"/>
      </top>
      <bottom style="thin">
        <color rgb="FF60497A"/>
      </bottom>
      <diagonal/>
    </border>
    <border>
      <left style="thin">
        <color rgb="FF60497A"/>
      </left>
      <right style="thin">
        <color rgb="FF60497A"/>
      </right>
      <top style="medium">
        <color rgb="FF60497A"/>
      </top>
      <bottom style="thin">
        <color rgb="FF60497A"/>
      </bottom>
      <diagonal/>
    </border>
    <border>
      <left style="thin">
        <color rgb="FF60497A"/>
      </left>
      <right style="medium">
        <color rgb="FF60497A"/>
      </right>
      <top style="medium">
        <color rgb="FF60497A"/>
      </top>
      <bottom style="thin">
        <color rgb="FF60497A"/>
      </bottom>
      <diagonal/>
    </border>
    <border>
      <left style="medium">
        <color rgb="FF60497A"/>
      </left>
      <right style="thin">
        <color rgb="FF60497A"/>
      </right>
      <top style="thin">
        <color rgb="FF60497A"/>
      </top>
      <bottom style="thin">
        <color rgb="FF60497A"/>
      </bottom>
      <diagonal/>
    </border>
    <border>
      <left style="thin">
        <color rgb="FF60497A"/>
      </left>
      <right style="medium">
        <color rgb="FF60497A"/>
      </right>
      <top style="thin">
        <color rgb="FF60497A"/>
      </top>
      <bottom style="thin">
        <color rgb="FF60497A"/>
      </bottom>
      <diagonal/>
    </border>
    <border>
      <left style="medium">
        <color rgb="FF60497A"/>
      </left>
      <right style="thin">
        <color rgb="FF60497A"/>
      </right>
      <top style="thin">
        <color rgb="FF60497A"/>
      </top>
      <bottom style="medium">
        <color rgb="FF60497A"/>
      </bottom>
      <diagonal/>
    </border>
    <border>
      <left style="thin">
        <color rgb="FF60497A"/>
      </left>
      <right style="thin">
        <color rgb="FF60497A"/>
      </right>
      <top style="thin">
        <color rgb="FF60497A"/>
      </top>
      <bottom style="medium">
        <color rgb="FF60497A"/>
      </bottom>
      <diagonal/>
    </border>
    <border>
      <left style="thin">
        <color rgb="FF60497A"/>
      </left>
      <right style="medium">
        <color rgb="FF60497A"/>
      </right>
      <top style="thin">
        <color rgb="FF60497A"/>
      </top>
      <bottom style="medium">
        <color rgb="FF60497A"/>
      </bottom>
      <diagonal/>
    </border>
    <border>
      <left style="medium">
        <color rgb="FF60497A"/>
      </left>
      <right style="thin">
        <color rgb="FF60497A"/>
      </right>
      <top style="medium">
        <color rgb="FF60497A"/>
      </top>
      <bottom/>
      <diagonal/>
    </border>
    <border>
      <left style="thin">
        <color rgb="FF60497A"/>
      </left>
      <right style="thin">
        <color rgb="FF60497A"/>
      </right>
      <top style="medium">
        <color rgb="FF60497A"/>
      </top>
      <bottom/>
      <diagonal/>
    </border>
    <border>
      <left style="thin">
        <color rgb="FF60497A"/>
      </left>
      <right style="medium">
        <color rgb="FF60497A"/>
      </right>
      <top style="medium">
        <color rgb="FF60497A"/>
      </top>
      <bottom/>
      <diagonal/>
    </border>
    <border>
      <left style="thin">
        <color rgb="FF60497A"/>
      </left>
      <right style="medium">
        <color rgb="FF60497A"/>
      </right>
      <top/>
      <bottom style="thin">
        <color rgb="FF60497A"/>
      </bottom>
      <diagonal/>
    </border>
    <border>
      <left style="thin">
        <color rgb="FF60497A"/>
      </left>
      <right style="thin">
        <color rgb="FF60497A"/>
      </right>
      <top style="thin">
        <color rgb="FF60497A"/>
      </top>
      <bottom/>
      <diagonal/>
    </border>
    <border>
      <left style="medium">
        <color rgb="FF60497A"/>
      </left>
      <right style="thin">
        <color rgb="FF60497A"/>
      </right>
      <top style="thin">
        <color rgb="FF60497A"/>
      </top>
      <bottom/>
      <diagonal/>
    </border>
    <border>
      <left style="thin">
        <color rgb="FF60497A"/>
      </left>
      <right style="medium">
        <color rgb="FF60497A"/>
      </right>
      <top style="thin">
        <color rgb="FF60497A"/>
      </top>
      <bottom/>
      <diagonal/>
    </border>
    <border>
      <left style="medium">
        <color rgb="FF60497A"/>
      </left>
      <right/>
      <top style="medium">
        <color rgb="FF60497A"/>
      </top>
      <bottom style="thin">
        <color rgb="FF60497A"/>
      </bottom>
      <diagonal/>
    </border>
    <border>
      <left style="medium">
        <color rgb="FF60497A"/>
      </left>
      <right/>
      <top style="thin">
        <color rgb="FF60497A"/>
      </top>
      <bottom style="thin">
        <color rgb="FF60497A"/>
      </bottom>
      <diagonal/>
    </border>
    <border>
      <left style="medium">
        <color rgb="FF60497A"/>
      </left>
      <right/>
      <top style="thin">
        <color rgb="FF60497A"/>
      </top>
      <bottom style="medium">
        <color rgb="FF60497A"/>
      </bottom>
      <diagonal/>
    </border>
    <border>
      <left style="thin">
        <color rgb="FF60497A"/>
      </left>
      <right/>
      <top style="medium">
        <color rgb="FF60497A"/>
      </top>
      <bottom style="thin">
        <color rgb="FF60497A"/>
      </bottom>
      <diagonal/>
    </border>
    <border>
      <left/>
      <right style="thin">
        <color rgb="FF60497A"/>
      </right>
      <top style="thin">
        <color rgb="FF60497A"/>
      </top>
      <bottom style="thin">
        <color rgb="FF60497A"/>
      </bottom>
      <diagonal/>
    </border>
    <border>
      <left/>
      <right style="medium">
        <color rgb="FF60497A"/>
      </right>
      <top style="medium">
        <color rgb="FF60497A"/>
      </top>
      <bottom style="thin">
        <color rgb="FF60497A"/>
      </bottom>
      <diagonal/>
    </border>
    <border>
      <left/>
      <right/>
      <top style="thin">
        <color rgb="FF60497A"/>
      </top>
      <bottom style="thin">
        <color rgb="FF60497A"/>
      </bottom>
      <diagonal/>
    </border>
    <border>
      <left/>
      <right/>
      <top style="medium">
        <color rgb="FF60497A"/>
      </top>
      <bottom style="thin">
        <color rgb="FF60497A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rgb="FF60497A"/>
      </right>
      <top style="medium">
        <color indexed="64"/>
      </top>
      <bottom style="thin">
        <color rgb="FF60497A"/>
      </bottom>
      <diagonal/>
    </border>
    <border>
      <left style="thin">
        <color rgb="FF60497A"/>
      </left>
      <right style="thin">
        <color rgb="FF60497A"/>
      </right>
      <top style="medium">
        <color indexed="64"/>
      </top>
      <bottom style="thin">
        <color rgb="FF60497A"/>
      </bottom>
      <diagonal/>
    </border>
    <border>
      <left style="thin">
        <color rgb="FF60497A"/>
      </left>
      <right style="medium">
        <color indexed="64"/>
      </right>
      <top style="medium">
        <color indexed="64"/>
      </top>
      <bottom style="thin">
        <color rgb="FF60497A"/>
      </bottom>
      <diagonal/>
    </border>
    <border>
      <left style="medium">
        <color indexed="64"/>
      </left>
      <right style="thin">
        <color rgb="FF60497A"/>
      </right>
      <top style="thin">
        <color rgb="FF60497A"/>
      </top>
      <bottom style="thin">
        <color rgb="FF60497A"/>
      </bottom>
      <diagonal/>
    </border>
    <border>
      <left style="thin">
        <color rgb="FF60497A"/>
      </left>
      <right style="medium">
        <color indexed="64"/>
      </right>
      <top style="thin">
        <color rgb="FF60497A"/>
      </top>
      <bottom style="thin">
        <color rgb="FF60497A"/>
      </bottom>
      <diagonal/>
    </border>
    <border>
      <left style="medium">
        <color indexed="64"/>
      </left>
      <right style="thin">
        <color rgb="FF60497A"/>
      </right>
      <top style="thin">
        <color rgb="FF60497A"/>
      </top>
      <bottom style="medium">
        <color indexed="64"/>
      </bottom>
      <diagonal/>
    </border>
    <border>
      <left style="thin">
        <color rgb="FF60497A"/>
      </left>
      <right style="thin">
        <color rgb="FF60497A"/>
      </right>
      <top style="thin">
        <color rgb="FF60497A"/>
      </top>
      <bottom style="medium">
        <color indexed="64"/>
      </bottom>
      <diagonal/>
    </border>
    <border>
      <left style="thin">
        <color rgb="FF60497A"/>
      </left>
      <right style="medium">
        <color indexed="64"/>
      </right>
      <top style="thin">
        <color rgb="FF60497A"/>
      </top>
      <bottom style="medium">
        <color indexed="64"/>
      </bottom>
      <diagonal/>
    </border>
    <border>
      <left style="medium">
        <color rgb="FF60497A"/>
      </left>
      <right/>
      <top style="medium">
        <color rgb="FF60497A"/>
      </top>
      <bottom/>
      <diagonal/>
    </border>
    <border>
      <left style="medium">
        <color rgb="FF60497A"/>
      </left>
      <right/>
      <top/>
      <bottom/>
      <diagonal/>
    </border>
    <border>
      <left style="medium">
        <color rgb="FF60497A"/>
      </left>
      <right/>
      <top/>
      <bottom style="thin">
        <color rgb="FF60497A"/>
      </bottom>
      <diagonal/>
    </border>
    <border>
      <left style="thin">
        <color rgb="FF60497A"/>
      </left>
      <right style="medium">
        <color indexed="64"/>
      </right>
      <top style="thin">
        <color rgb="FF60497A"/>
      </top>
      <bottom/>
      <diagonal/>
    </border>
    <border>
      <left style="thin">
        <color rgb="FF60497A"/>
      </left>
      <right/>
      <top style="medium">
        <color indexed="64"/>
      </top>
      <bottom style="thin">
        <color rgb="FF60497A"/>
      </bottom>
      <diagonal/>
    </border>
    <border>
      <left/>
      <right/>
      <top style="medium">
        <color indexed="64"/>
      </top>
      <bottom style="thin">
        <color rgb="FF60497A"/>
      </bottom>
      <diagonal/>
    </border>
    <border>
      <left/>
      <right style="medium">
        <color rgb="FF60497A"/>
      </right>
      <top style="medium">
        <color indexed="64"/>
      </top>
      <bottom style="thin">
        <color rgb="FF60497A"/>
      </bottom>
      <diagonal/>
    </border>
    <border>
      <left style="thin">
        <color rgb="FF60497A"/>
      </left>
      <right style="medium">
        <color rgb="FF60497A"/>
      </right>
      <top/>
      <bottom/>
      <diagonal/>
    </border>
    <border>
      <left/>
      <right style="medium">
        <color rgb="FF60497A"/>
      </right>
      <top style="thin">
        <color rgb="FF60497A"/>
      </top>
      <bottom style="thin">
        <color rgb="FF60497A"/>
      </bottom>
      <diagonal/>
    </border>
    <border>
      <left style="thin">
        <color rgb="FF60497A"/>
      </left>
      <right/>
      <top/>
      <bottom style="thin">
        <color rgb="FF60497A"/>
      </bottom>
      <diagonal/>
    </border>
    <border>
      <left/>
      <right/>
      <top/>
      <bottom style="thin">
        <color rgb="FF60497A"/>
      </bottom>
      <diagonal/>
    </border>
    <border>
      <left/>
      <right style="thin">
        <color rgb="FF60497A"/>
      </right>
      <top/>
      <bottom style="thin">
        <color rgb="FF60497A"/>
      </bottom>
      <diagonal/>
    </border>
    <border>
      <left/>
      <right style="thin">
        <color rgb="FF60497A"/>
      </right>
      <top style="medium">
        <color rgb="FF60497A"/>
      </top>
      <bottom style="thin">
        <color rgb="FF60497A"/>
      </bottom>
      <diagonal/>
    </border>
    <border>
      <left style="medium">
        <color rgb="FF60497A"/>
      </left>
      <right style="thin">
        <color indexed="8"/>
      </right>
      <top style="medium">
        <color rgb="FF60497A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rgb="FF60497A"/>
      </top>
      <bottom style="thin">
        <color indexed="8"/>
      </bottom>
      <diagonal/>
    </border>
    <border>
      <left style="thin">
        <color indexed="8"/>
      </left>
      <right style="medium">
        <color rgb="FF60497A"/>
      </right>
      <top style="medium">
        <color rgb="FF60497A"/>
      </top>
      <bottom style="thin">
        <color indexed="8"/>
      </bottom>
      <diagonal/>
    </border>
    <border>
      <left style="medium">
        <color rgb="FF60497A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rgb="FF60497A"/>
      </right>
      <top style="thin">
        <color indexed="8"/>
      </top>
      <bottom style="thin">
        <color indexed="8"/>
      </bottom>
      <diagonal/>
    </border>
    <border>
      <left style="medium">
        <color rgb="FF60497A"/>
      </left>
      <right style="thin">
        <color indexed="8"/>
      </right>
      <top style="thin">
        <color indexed="8"/>
      </top>
      <bottom style="medium">
        <color rgb="FF60497A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rgb="FF60497A"/>
      </bottom>
      <diagonal/>
    </border>
    <border>
      <left style="thin">
        <color indexed="8"/>
      </left>
      <right style="medium">
        <color rgb="FF60497A"/>
      </right>
      <top style="thin">
        <color indexed="8"/>
      </top>
      <bottom style="medium">
        <color rgb="FF60497A"/>
      </bottom>
      <diagonal/>
    </border>
    <border>
      <left style="thin">
        <color rgb="FF60497A"/>
      </left>
      <right/>
      <top style="thin">
        <color rgb="FF60497A"/>
      </top>
      <bottom style="thin">
        <color rgb="FF60497A"/>
      </bottom>
      <diagonal/>
    </border>
    <border>
      <left style="thin">
        <color rgb="FF60497A"/>
      </left>
      <right style="thin">
        <color rgb="FF60497A"/>
      </right>
      <top/>
      <bottom style="thin">
        <color rgb="FF60497A"/>
      </bottom>
      <diagonal/>
    </border>
    <border>
      <left style="medium">
        <color rgb="FF60497A"/>
      </left>
      <right style="thin">
        <color rgb="FF60497A"/>
      </right>
      <top/>
      <bottom/>
      <diagonal/>
    </border>
    <border>
      <left style="medium">
        <color rgb="FF60497A"/>
      </left>
      <right style="thin">
        <color rgb="FF60497A"/>
      </right>
      <top/>
      <bottom style="thin">
        <color rgb="FF60497A"/>
      </bottom>
      <diagonal/>
    </border>
    <border>
      <left style="medium">
        <color rgb="FF60497A"/>
      </left>
      <right style="thin">
        <color rgb="FF60497A"/>
      </right>
      <top/>
      <bottom style="medium">
        <color rgb="FF60497A"/>
      </bottom>
      <diagonal/>
    </border>
    <border>
      <left style="medium">
        <color rgb="FF7030A0"/>
      </left>
      <right style="thin">
        <color rgb="FF60497A"/>
      </right>
      <top style="medium">
        <color rgb="FF7030A0"/>
      </top>
      <bottom style="thin">
        <color rgb="FF60497A"/>
      </bottom>
      <diagonal/>
    </border>
    <border>
      <left style="thin">
        <color rgb="FF60497A"/>
      </left>
      <right style="thin">
        <color rgb="FF60497A"/>
      </right>
      <top style="medium">
        <color rgb="FF7030A0"/>
      </top>
      <bottom style="thin">
        <color rgb="FF60497A"/>
      </bottom>
      <diagonal/>
    </border>
    <border>
      <left style="thin">
        <color rgb="FF60497A"/>
      </left>
      <right style="medium">
        <color rgb="FF7030A0"/>
      </right>
      <top style="medium">
        <color rgb="FF7030A0"/>
      </top>
      <bottom style="thin">
        <color rgb="FF60497A"/>
      </bottom>
      <diagonal/>
    </border>
    <border>
      <left style="medium">
        <color rgb="FF7030A0"/>
      </left>
      <right style="thin">
        <color rgb="FF60497A"/>
      </right>
      <top style="thin">
        <color rgb="FF60497A"/>
      </top>
      <bottom style="thin">
        <color rgb="FF60497A"/>
      </bottom>
      <diagonal/>
    </border>
    <border>
      <left style="thin">
        <color rgb="FF60497A"/>
      </left>
      <right style="medium">
        <color rgb="FF7030A0"/>
      </right>
      <top style="thin">
        <color rgb="FF60497A"/>
      </top>
      <bottom style="thin">
        <color rgb="FF60497A"/>
      </bottom>
      <diagonal/>
    </border>
    <border>
      <left style="thin">
        <color rgb="FF60497A"/>
      </left>
      <right style="medium">
        <color rgb="FF7030A0"/>
      </right>
      <top style="thin">
        <color rgb="FF60497A"/>
      </top>
      <bottom/>
      <diagonal/>
    </border>
    <border>
      <left style="medium">
        <color rgb="FF7030A0"/>
      </left>
      <right style="thin">
        <color rgb="FF60497A"/>
      </right>
      <top style="thin">
        <color rgb="FF60497A"/>
      </top>
      <bottom/>
      <diagonal/>
    </border>
    <border>
      <left style="medium">
        <color rgb="FF7030A0"/>
      </left>
      <right style="thin">
        <color rgb="FF60497A"/>
      </right>
      <top style="medium">
        <color rgb="FF60497A"/>
      </top>
      <bottom style="medium">
        <color rgb="FF7030A0"/>
      </bottom>
      <diagonal/>
    </border>
    <border>
      <left style="thin">
        <color rgb="FF60497A"/>
      </left>
      <right style="thin">
        <color rgb="FF60497A"/>
      </right>
      <top style="medium">
        <color rgb="FF60497A"/>
      </top>
      <bottom style="medium">
        <color rgb="FF7030A0"/>
      </bottom>
      <diagonal/>
    </border>
    <border>
      <left style="thin">
        <color rgb="FF60497A"/>
      </left>
      <right style="medium">
        <color rgb="FF7030A0"/>
      </right>
      <top style="medium">
        <color rgb="FF60497A"/>
      </top>
      <bottom style="medium">
        <color rgb="FF7030A0"/>
      </bottom>
      <diagonal/>
    </border>
    <border>
      <left style="medium">
        <color rgb="FF60497A"/>
      </left>
      <right style="thin">
        <color rgb="FF60497A"/>
      </right>
      <top style="medium">
        <color rgb="FF60497A"/>
      </top>
      <bottom style="medium">
        <color rgb="FF60497A"/>
      </bottom>
      <diagonal/>
    </border>
    <border>
      <left style="thin">
        <color rgb="FF60497A"/>
      </left>
      <right style="thin">
        <color rgb="FF60497A"/>
      </right>
      <top style="medium">
        <color rgb="FF60497A"/>
      </top>
      <bottom style="medium">
        <color rgb="FF60497A"/>
      </bottom>
      <diagonal/>
    </border>
    <border>
      <left style="thin">
        <color rgb="FF60497A"/>
      </left>
      <right style="medium">
        <color rgb="FF60497A"/>
      </right>
      <top style="medium">
        <color rgb="FF60497A"/>
      </top>
      <bottom style="medium">
        <color rgb="FF60497A"/>
      </bottom>
      <diagonal/>
    </border>
    <border>
      <left/>
      <right style="thin">
        <color rgb="FF60497A"/>
      </right>
      <top style="medium">
        <color indexed="64"/>
      </top>
      <bottom style="thin">
        <color rgb="FF60497A"/>
      </bottom>
      <diagonal/>
    </border>
    <border>
      <left/>
      <right style="thin">
        <color rgb="FF60497A"/>
      </right>
      <top style="thin">
        <color rgb="FF60497A"/>
      </top>
      <bottom/>
      <diagonal/>
    </border>
    <border>
      <left/>
      <right style="thin">
        <color rgb="FF60497A"/>
      </right>
      <top/>
      <bottom style="medium">
        <color indexed="64"/>
      </bottom>
      <diagonal/>
    </border>
    <border>
      <left style="thin">
        <color rgb="FF60497A"/>
      </left>
      <right style="thin">
        <color rgb="FF60497A"/>
      </right>
      <top/>
      <bottom style="medium">
        <color indexed="64"/>
      </bottom>
      <diagonal/>
    </border>
    <border>
      <left style="thin">
        <color rgb="FF60497A"/>
      </left>
      <right/>
      <top style="medium">
        <color rgb="FF60497A"/>
      </top>
      <bottom/>
      <diagonal/>
    </border>
    <border>
      <left/>
      <right/>
      <top style="medium">
        <color rgb="FF60497A"/>
      </top>
      <bottom/>
      <diagonal/>
    </border>
    <border>
      <left style="medium">
        <color rgb="FF60497A"/>
      </left>
      <right style="medium">
        <color rgb="FF60497A"/>
      </right>
      <top style="medium">
        <color rgb="FF60497A"/>
      </top>
      <bottom/>
      <diagonal/>
    </border>
    <border>
      <left style="medium">
        <color rgb="FF60497A"/>
      </left>
      <right style="medium">
        <color rgb="FF60497A"/>
      </right>
      <top/>
      <bottom/>
      <diagonal/>
    </border>
    <border>
      <left style="medium">
        <color rgb="FF60497A"/>
      </left>
      <right style="medium">
        <color rgb="FF60497A"/>
      </right>
      <top/>
      <bottom style="thin">
        <color rgb="FF60497A"/>
      </bottom>
      <diagonal/>
    </border>
    <border>
      <left style="medium">
        <color rgb="FF60497A"/>
      </left>
      <right style="medium">
        <color rgb="FF60497A"/>
      </right>
      <top style="thin">
        <color rgb="FF60497A"/>
      </top>
      <bottom style="thin">
        <color rgb="FF60497A"/>
      </bottom>
      <diagonal/>
    </border>
    <border>
      <left style="medium">
        <color rgb="FF60497A"/>
      </left>
      <right style="medium">
        <color rgb="FF60497A"/>
      </right>
      <top style="thin">
        <color rgb="FF60497A"/>
      </top>
      <bottom style="medium">
        <color rgb="FF60497A"/>
      </bottom>
      <diagonal/>
    </border>
    <border>
      <left style="thin">
        <color rgb="FF60497A"/>
      </left>
      <right style="thin">
        <color rgb="FF60497A"/>
      </right>
      <top/>
      <bottom/>
      <diagonal/>
    </border>
    <border>
      <left style="medium">
        <color rgb="FF60497A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60497A"/>
      </right>
      <top/>
      <bottom/>
      <diagonal/>
    </border>
    <border>
      <left/>
      <right style="thin">
        <color rgb="FF60497A"/>
      </right>
      <top style="medium">
        <color rgb="FF60497A"/>
      </top>
      <bottom style="thin">
        <color indexed="64"/>
      </bottom>
      <diagonal/>
    </border>
    <border>
      <left/>
      <right/>
      <top style="medium">
        <color rgb="FF60497A"/>
      </top>
      <bottom style="thin">
        <color indexed="64"/>
      </bottom>
      <diagonal/>
    </border>
    <border>
      <left style="thin">
        <color indexed="64"/>
      </left>
      <right/>
      <top style="medium">
        <color rgb="FF60497A"/>
      </top>
      <bottom style="thin">
        <color indexed="64"/>
      </bottom>
      <diagonal/>
    </border>
    <border>
      <left/>
      <right style="thin">
        <color indexed="64"/>
      </right>
      <top style="medium">
        <color rgb="FF60497A"/>
      </top>
      <bottom style="thin">
        <color indexed="64"/>
      </bottom>
      <diagonal/>
    </border>
    <border>
      <left/>
      <right style="thin">
        <color rgb="FF60497A"/>
      </right>
      <top style="medium">
        <color rgb="FF60497A"/>
      </top>
      <bottom/>
      <diagonal/>
    </border>
    <border>
      <left style="thin">
        <color indexed="64"/>
      </left>
      <right/>
      <top style="medium">
        <color rgb="FF60497A"/>
      </top>
      <bottom/>
      <diagonal/>
    </border>
    <border>
      <left style="medium">
        <color rgb="FF60497A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60497A"/>
      </left>
      <right style="thin">
        <color auto="1"/>
      </right>
      <top style="thin">
        <color auto="1"/>
      </top>
      <bottom style="medium">
        <color rgb="FF60497A"/>
      </bottom>
      <diagonal/>
    </border>
    <border>
      <left style="thin">
        <color rgb="FF60497A"/>
      </left>
      <right style="thin">
        <color rgb="FF60497A"/>
      </right>
      <top/>
      <bottom style="medium">
        <color rgb="FF60497A"/>
      </bottom>
      <diagonal/>
    </border>
    <border>
      <left style="thin">
        <color rgb="FF60497A"/>
      </left>
      <right style="medium">
        <color rgb="FF60497A"/>
      </right>
      <top/>
      <bottom style="medium">
        <color rgb="FF60497A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60497A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rgb="FF60497A"/>
      </top>
      <bottom/>
      <diagonal/>
    </border>
    <border>
      <left/>
      <right style="thin">
        <color indexed="64"/>
      </right>
      <top style="medium">
        <color rgb="FF60497A"/>
      </top>
      <bottom/>
      <diagonal/>
    </border>
    <border>
      <left style="thin">
        <color indexed="64"/>
      </left>
      <right/>
      <top style="medium">
        <color rgb="FF60497A"/>
      </top>
      <bottom style="medium">
        <color rgb="FF60497A"/>
      </bottom>
      <diagonal/>
    </border>
    <border>
      <left/>
      <right style="medium">
        <color rgb="FF60497A"/>
      </right>
      <top style="medium">
        <color rgb="FF60497A"/>
      </top>
      <bottom style="medium">
        <color rgb="FF60497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0497A"/>
      </left>
      <right/>
      <top style="medium">
        <color rgb="FF60497A"/>
      </top>
      <bottom style="medium">
        <color rgb="FF60497A"/>
      </bottom>
      <diagonal/>
    </border>
    <border>
      <left/>
      <right/>
      <top style="medium">
        <color rgb="FF60497A"/>
      </top>
      <bottom style="medium">
        <color rgb="FF60497A"/>
      </bottom>
      <diagonal/>
    </border>
    <border>
      <left/>
      <right style="medium">
        <color rgb="FF60497A"/>
      </right>
      <top/>
      <bottom style="thin">
        <color rgb="FF60497A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683">
    <xf numFmtId="0" fontId="0" fillId="0" borderId="0" xfId="0"/>
    <xf numFmtId="0" fontId="0" fillId="0" borderId="0" xfId="0" applyBorder="1"/>
    <xf numFmtId="49" fontId="8" fillId="5" borderId="5" xfId="0" applyNumberFormat="1" applyFont="1" applyFill="1" applyBorder="1" applyAlignment="1">
      <alignment wrapText="1"/>
    </xf>
    <xf numFmtId="165" fontId="8" fillId="5" borderId="1" xfId="1" applyNumberFormat="1" applyFont="1" applyFill="1" applyBorder="1" applyAlignment="1">
      <alignment horizontal="right" vertical="center"/>
    </xf>
    <xf numFmtId="49" fontId="10" fillId="0" borderId="7" xfId="0" applyNumberFormat="1" applyFont="1" applyFill="1" applyBorder="1" applyAlignment="1">
      <alignment wrapText="1"/>
    </xf>
    <xf numFmtId="0" fontId="0" fillId="0" borderId="0" xfId="0" applyAlignment="1">
      <alignment vertical="top"/>
    </xf>
    <xf numFmtId="49" fontId="2" fillId="4" borderId="10" xfId="0" applyNumberFormat="1" applyFont="1" applyFill="1" applyBorder="1" applyAlignment="1">
      <alignment horizontal="center" vertical="center" textRotation="90" wrapText="1"/>
    </xf>
    <xf numFmtId="49" fontId="2" fillId="4" borderId="11" xfId="0" applyNumberFormat="1" applyFont="1" applyFill="1" applyBorder="1" applyAlignment="1">
      <alignment horizontal="center" vertical="center" textRotation="90" wrapText="1"/>
    </xf>
    <xf numFmtId="49" fontId="2" fillId="4" borderId="12" xfId="0" applyNumberFormat="1" applyFont="1" applyFill="1" applyBorder="1" applyAlignment="1">
      <alignment horizontal="center" vertical="center" textRotation="90" wrapText="1"/>
    </xf>
    <xf numFmtId="9" fontId="0" fillId="0" borderId="0" xfId="2" applyFont="1"/>
    <xf numFmtId="0" fontId="4" fillId="0" borderId="5" xfId="0" applyFont="1" applyBorder="1"/>
    <xf numFmtId="0" fontId="4" fillId="0" borderId="7" xfId="0" applyFont="1" applyBorder="1"/>
    <xf numFmtId="165" fontId="4" fillId="0" borderId="1" xfId="1" applyNumberFormat="1" applyFont="1" applyBorder="1" applyAlignment="1">
      <alignment horizontal="right"/>
    </xf>
    <xf numFmtId="0" fontId="4" fillId="0" borderId="18" xfId="0" applyFont="1" applyBorder="1"/>
    <xf numFmtId="165" fontId="4" fillId="0" borderId="5" xfId="1" applyNumberFormat="1" applyFont="1" applyBorder="1" applyAlignment="1">
      <alignment horizontal="right"/>
    </xf>
    <xf numFmtId="0" fontId="3" fillId="0" borderId="19" xfId="0" applyFont="1" applyBorder="1"/>
    <xf numFmtId="165" fontId="3" fillId="0" borderId="7" xfId="1" applyNumberFormat="1" applyFont="1" applyBorder="1" applyAlignment="1">
      <alignment horizontal="right"/>
    </xf>
    <xf numFmtId="165" fontId="3" fillId="0" borderId="8" xfId="1" applyNumberFormat="1" applyFont="1" applyBorder="1" applyAlignment="1">
      <alignment horizontal="right"/>
    </xf>
    <xf numFmtId="165" fontId="3" fillId="0" borderId="9" xfId="1" applyNumberFormat="1" applyFont="1" applyBorder="1" applyAlignment="1">
      <alignment horizontal="right"/>
    </xf>
    <xf numFmtId="0" fontId="11" fillId="3" borderId="2" xfId="0" applyFont="1" applyFill="1" applyBorder="1" applyAlignment="1">
      <alignment horizontal="center" vertical="center"/>
    </xf>
    <xf numFmtId="0" fontId="0" fillId="0" borderId="0" xfId="0" applyBorder="1" applyAlignment="1"/>
    <xf numFmtId="165" fontId="4" fillId="0" borderId="1" xfId="1" applyNumberFormat="1" applyFont="1" applyBorder="1" applyAlignment="1">
      <alignment horizontal="right" vertical="center"/>
    </xf>
    <xf numFmtId="165" fontId="3" fillId="0" borderId="8" xfId="1" applyNumberFormat="1" applyFont="1" applyBorder="1" applyAlignment="1">
      <alignment horizontal="right" vertical="center"/>
    </xf>
    <xf numFmtId="0" fontId="0" fillId="0" borderId="0" xfId="0" applyFill="1" applyAlignment="1">
      <alignment vertical="center"/>
    </xf>
    <xf numFmtId="49" fontId="5" fillId="0" borderId="3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9" fontId="2" fillId="0" borderId="14" xfId="0" applyNumberFormat="1" applyFont="1" applyFill="1" applyBorder="1" applyAlignment="1">
      <alignment horizontal="left" vertical="center" wrapText="1"/>
    </xf>
    <xf numFmtId="49" fontId="2" fillId="0" borderId="8" xfId="0" applyNumberFormat="1" applyFont="1" applyFill="1" applyBorder="1" applyAlignment="1">
      <alignment horizontal="left" vertical="center" wrapText="1"/>
    </xf>
    <xf numFmtId="165" fontId="3" fillId="0" borderId="6" xfId="1" applyNumberFormat="1" applyFont="1" applyBorder="1" applyAlignment="1">
      <alignment horizontal="right"/>
    </xf>
    <xf numFmtId="49" fontId="13" fillId="2" borderId="7" xfId="0" applyNumberFormat="1" applyFont="1" applyFill="1" applyBorder="1" applyAlignment="1"/>
    <xf numFmtId="165" fontId="13" fillId="2" borderId="8" xfId="1" applyNumberFormat="1" applyFont="1" applyFill="1" applyBorder="1" applyAlignment="1"/>
    <xf numFmtId="165" fontId="6" fillId="2" borderId="1" xfId="1" applyNumberFormat="1" applyFont="1" applyFill="1" applyBorder="1" applyAlignment="1">
      <alignment horizontal="right"/>
    </xf>
    <xf numFmtId="165" fontId="13" fillId="2" borderId="8" xfId="1" applyNumberFormat="1" applyFont="1" applyFill="1" applyBorder="1" applyAlignment="1">
      <alignment horizontal="right"/>
    </xf>
    <xf numFmtId="0" fontId="4" fillId="0" borderId="0" xfId="0" applyFont="1"/>
    <xf numFmtId="165" fontId="6" fillId="2" borderId="1" xfId="1" applyNumberFormat="1" applyFont="1" applyFill="1" applyBorder="1" applyAlignment="1">
      <alignment horizontal="right" vertical="center"/>
    </xf>
    <xf numFmtId="165" fontId="13" fillId="2" borderId="8" xfId="1" applyNumberFormat="1" applyFont="1" applyFill="1" applyBorder="1" applyAlignment="1">
      <alignment horizontal="right" vertical="center"/>
    </xf>
    <xf numFmtId="49" fontId="8" fillId="5" borderId="5" xfId="0" applyNumberFormat="1" applyFont="1" applyFill="1" applyBorder="1" applyAlignment="1">
      <alignment vertical="center" wrapText="1"/>
    </xf>
    <xf numFmtId="49" fontId="10" fillId="0" borderId="7" xfId="0" applyNumberFormat="1" applyFont="1" applyFill="1" applyBorder="1" applyAlignment="1">
      <alignment vertical="center" wrapText="1"/>
    </xf>
    <xf numFmtId="0" fontId="4" fillId="0" borderId="1" xfId="0" applyFont="1" applyBorder="1"/>
    <xf numFmtId="49" fontId="13" fillId="7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/>
    </xf>
    <xf numFmtId="0" fontId="13" fillId="2" borderId="8" xfId="0" applyFont="1" applyFill="1" applyBorder="1" applyAlignment="1">
      <alignment horizontal="right"/>
    </xf>
    <xf numFmtId="165" fontId="6" fillId="2" borderId="1" xfId="1" applyNumberFormat="1" applyFont="1" applyFill="1" applyBorder="1" applyAlignment="1"/>
    <xf numFmtId="165" fontId="0" fillId="0" borderId="0" xfId="1" applyNumberFormat="1" applyFont="1"/>
    <xf numFmtId="49" fontId="13" fillId="2" borderId="19" xfId="0" applyNumberFormat="1" applyFont="1" applyFill="1" applyBorder="1" applyAlignment="1">
      <alignment horizontal="left" vertical="center"/>
    </xf>
    <xf numFmtId="49" fontId="8" fillId="5" borderId="29" xfId="0" applyNumberFormat="1" applyFont="1" applyFill="1" applyBorder="1" applyAlignment="1">
      <alignment vertical="center" wrapText="1"/>
    </xf>
    <xf numFmtId="49" fontId="10" fillId="0" borderId="31" xfId="0" applyNumberFormat="1" applyFont="1" applyFill="1" applyBorder="1" applyAlignment="1">
      <alignment vertical="center" wrapText="1"/>
    </xf>
    <xf numFmtId="49" fontId="13" fillId="7" borderId="37" xfId="0" applyNumberFormat="1" applyFont="1" applyFill="1" applyBorder="1" applyAlignment="1">
      <alignment horizontal="center" vertical="center" wrapText="1"/>
    </xf>
    <xf numFmtId="165" fontId="13" fillId="2" borderId="32" xfId="1" applyNumberFormat="1" applyFont="1" applyFill="1" applyBorder="1" applyAlignment="1">
      <alignment horizontal="right" vertical="center"/>
    </xf>
    <xf numFmtId="165" fontId="6" fillId="0" borderId="1" xfId="1" applyNumberFormat="1" applyFon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4" fontId="2" fillId="0" borderId="0" xfId="0" applyNumberFormat="1" applyFont="1" applyFill="1" applyBorder="1" applyAlignment="1">
      <alignment vertical="center"/>
    </xf>
    <xf numFmtId="4" fontId="2" fillId="0" borderId="0" xfId="0" applyNumberFormat="1" applyFont="1" applyFill="1" applyBorder="1" applyAlignment="1">
      <alignment vertical="center" wrapText="1"/>
    </xf>
    <xf numFmtId="164" fontId="0" fillId="0" borderId="0" xfId="1" applyFont="1"/>
    <xf numFmtId="49" fontId="8" fillId="8" borderId="5" xfId="0" applyNumberFormat="1" applyFont="1" applyFill="1" applyBorder="1" applyAlignment="1">
      <alignment vertical="center" wrapText="1"/>
    </xf>
    <xf numFmtId="165" fontId="6" fillId="8" borderId="1" xfId="1" applyNumberFormat="1" applyFont="1" applyFill="1" applyBorder="1" applyAlignment="1">
      <alignment horizontal="right" vertical="center"/>
    </xf>
    <xf numFmtId="0" fontId="4" fillId="8" borderId="1" xfId="0" applyFont="1" applyFill="1" applyBorder="1"/>
    <xf numFmtId="49" fontId="10" fillId="8" borderId="7" xfId="0" applyNumberFormat="1" applyFont="1" applyFill="1" applyBorder="1" applyAlignment="1">
      <alignment vertical="center" wrapText="1"/>
    </xf>
    <xf numFmtId="165" fontId="13" fillId="8" borderId="8" xfId="1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/>
    <xf numFmtId="49" fontId="8" fillId="9" borderId="5" xfId="0" applyNumberFormat="1" applyFont="1" applyFill="1" applyBorder="1" applyAlignment="1">
      <alignment vertical="center" wrapText="1"/>
    </xf>
    <xf numFmtId="0" fontId="13" fillId="10" borderId="8" xfId="0" applyFont="1" applyFill="1" applyBorder="1" applyAlignment="1"/>
    <xf numFmtId="165" fontId="13" fillId="10" borderId="8" xfId="1" applyNumberFormat="1" applyFont="1" applyFill="1" applyBorder="1" applyAlignment="1"/>
    <xf numFmtId="165" fontId="6" fillId="10" borderId="1" xfId="1" applyNumberFormat="1" applyFont="1" applyFill="1" applyBorder="1" applyAlignment="1"/>
    <xf numFmtId="165" fontId="13" fillId="0" borderId="8" xfId="1" applyNumberFormat="1" applyFont="1" applyFill="1" applyBorder="1" applyAlignment="1">
      <alignment horizontal="right"/>
    </xf>
    <xf numFmtId="165" fontId="4" fillId="0" borderId="5" xfId="1" applyNumberFormat="1" applyFont="1" applyBorder="1" applyAlignment="1">
      <alignment horizontal="right" vertical="center"/>
    </xf>
    <xf numFmtId="165" fontId="3" fillId="0" borderId="6" xfId="1" applyNumberFormat="1" applyFont="1" applyBorder="1" applyAlignment="1">
      <alignment horizontal="right" vertical="center"/>
    </xf>
    <xf numFmtId="165" fontId="3" fillId="0" borderId="7" xfId="1" applyNumberFormat="1" applyFont="1" applyBorder="1" applyAlignment="1">
      <alignment horizontal="right" vertical="center"/>
    </xf>
    <xf numFmtId="165" fontId="3" fillId="0" borderId="9" xfId="1" applyNumberFormat="1" applyFont="1" applyBorder="1" applyAlignment="1">
      <alignment horizontal="right" vertical="center"/>
    </xf>
    <xf numFmtId="166" fontId="0" fillId="0" borderId="0" xfId="2" applyNumberFormat="1" applyFont="1"/>
    <xf numFmtId="49" fontId="6" fillId="2" borderId="18" xfId="0" applyNumberFormat="1" applyFont="1" applyFill="1" applyBorder="1" applyAlignment="1">
      <alignment horizontal="left" vertical="center" wrapText="1"/>
    </xf>
    <xf numFmtId="49" fontId="13" fillId="7" borderId="1" xfId="0" applyNumberFormat="1" applyFont="1" applyFill="1" applyBorder="1" applyAlignment="1">
      <alignment horizontal="center" wrapText="1"/>
    </xf>
    <xf numFmtId="49" fontId="13" fillId="7" borderId="6" xfId="0" applyNumberFormat="1" applyFont="1" applyFill="1" applyBorder="1" applyAlignment="1">
      <alignment horizontal="center" wrapText="1"/>
    </xf>
    <xf numFmtId="49" fontId="8" fillId="5" borderId="18" xfId="0" applyNumberFormat="1" applyFont="1" applyFill="1" applyBorder="1" applyAlignment="1">
      <alignment vertical="center" wrapText="1"/>
    </xf>
    <xf numFmtId="49" fontId="10" fillId="0" borderId="19" xfId="0" applyNumberFormat="1" applyFont="1" applyFill="1" applyBorder="1" applyAlignment="1">
      <alignment vertical="center" wrapText="1"/>
    </xf>
    <xf numFmtId="49" fontId="13" fillId="7" borderId="5" xfId="0" applyNumberFormat="1" applyFont="1" applyFill="1" applyBorder="1" applyAlignment="1">
      <alignment horizontal="center" wrapText="1"/>
    </xf>
    <xf numFmtId="167" fontId="4" fillId="0" borderId="1" xfId="0" applyNumberFormat="1" applyFont="1" applyBorder="1"/>
    <xf numFmtId="49" fontId="6" fillId="2" borderId="5" xfId="0" applyNumberFormat="1" applyFont="1" applyFill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" xfId="0" applyNumberFormat="1" applyFont="1" applyBorder="1" applyAlignment="1">
      <alignment vertical="center"/>
    </xf>
    <xf numFmtId="3" fontId="20" fillId="0" borderId="1" xfId="0" applyNumberFormat="1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165" fontId="19" fillId="0" borderId="8" xfId="1" applyNumberFormat="1" applyFont="1" applyBorder="1" applyAlignment="1">
      <alignment vertical="center"/>
    </xf>
    <xf numFmtId="3" fontId="19" fillId="0" borderId="8" xfId="0" applyNumberFormat="1" applyFont="1" applyBorder="1" applyAlignment="1">
      <alignment vertical="center"/>
    </xf>
    <xf numFmtId="49" fontId="9" fillId="0" borderId="0" xfId="0" applyNumberFormat="1" applyFont="1" applyFill="1" applyBorder="1" applyAlignment="1">
      <alignment vertical="center"/>
    </xf>
    <xf numFmtId="0" fontId="7" fillId="0" borderId="0" xfId="0" applyFont="1" applyFill="1"/>
    <xf numFmtId="0" fontId="22" fillId="3" borderId="1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169" fontId="23" fillId="0" borderId="1" xfId="0" applyNumberFormat="1" applyFont="1" applyBorder="1"/>
    <xf numFmtId="167" fontId="4" fillId="0" borderId="1" xfId="0" applyNumberFormat="1" applyFont="1" applyFill="1" applyBorder="1"/>
    <xf numFmtId="169" fontId="23" fillId="0" borderId="1" xfId="0" applyNumberFormat="1" applyFont="1" applyFill="1" applyBorder="1"/>
    <xf numFmtId="169" fontId="23" fillId="0" borderId="6" xfId="0" applyNumberFormat="1" applyFont="1" applyFill="1" applyBorder="1"/>
    <xf numFmtId="167" fontId="3" fillId="0" borderId="8" xfId="0" applyNumberFormat="1" applyFont="1" applyBorder="1"/>
    <xf numFmtId="169" fontId="22" fillId="0" borderId="8" xfId="0" applyNumberFormat="1" applyFont="1" applyBorder="1"/>
    <xf numFmtId="169" fontId="22" fillId="0" borderId="9" xfId="0" applyNumberFormat="1" applyFont="1" applyBorder="1"/>
    <xf numFmtId="0" fontId="15" fillId="3" borderId="2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24" fillId="0" borderId="7" xfId="0" applyFont="1" applyBorder="1"/>
    <xf numFmtId="0" fontId="2" fillId="12" borderId="3" xfId="0" applyNumberFormat="1" applyFont="1" applyFill="1" applyBorder="1" applyAlignment="1">
      <alignment horizontal="center" vertical="center"/>
    </xf>
    <xf numFmtId="0" fontId="25" fillId="12" borderId="1" xfId="0" applyNumberFormat="1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1" fillId="0" borderId="7" xfId="0" applyFont="1" applyBorder="1" applyAlignment="1">
      <alignment horizontal="left"/>
    </xf>
    <xf numFmtId="3" fontId="11" fillId="0" borderId="8" xfId="0" applyNumberFormat="1" applyFont="1" applyBorder="1"/>
    <xf numFmtId="0" fontId="3" fillId="0" borderId="7" xfId="0" applyFont="1" applyBorder="1" applyAlignment="1">
      <alignment vertical="center"/>
    </xf>
    <xf numFmtId="0" fontId="19" fillId="3" borderId="2" xfId="0" applyNumberFormat="1" applyFont="1" applyFill="1" applyBorder="1" applyAlignment="1">
      <alignment horizontal="center" vertical="center"/>
    </xf>
    <xf numFmtId="0" fontId="19" fillId="3" borderId="3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/>
    </xf>
    <xf numFmtId="49" fontId="14" fillId="7" borderId="2" xfId="0" applyNumberFormat="1" applyFont="1" applyFill="1" applyBorder="1" applyAlignment="1">
      <alignment horizontal="center" vertical="center" wrapText="1"/>
    </xf>
    <xf numFmtId="49" fontId="14" fillId="7" borderId="4" xfId="0" applyNumberFormat="1" applyFont="1" applyFill="1" applyBorder="1" applyAlignment="1">
      <alignment horizontal="center" vertical="center" wrapText="1"/>
    </xf>
    <xf numFmtId="165" fontId="0" fillId="0" borderId="6" xfId="1" applyNumberFormat="1" applyFont="1" applyBorder="1"/>
    <xf numFmtId="165" fontId="0" fillId="0" borderId="9" xfId="1" applyNumberFormat="1" applyFont="1" applyBorder="1"/>
    <xf numFmtId="170" fontId="6" fillId="2" borderId="1" xfId="1" applyNumberFormat="1" applyFont="1" applyFill="1" applyBorder="1" applyAlignment="1">
      <alignment horizontal="right"/>
    </xf>
    <xf numFmtId="170" fontId="6" fillId="2" borderId="6" xfId="1" applyNumberFormat="1" applyFont="1" applyFill="1" applyBorder="1" applyAlignment="1">
      <alignment horizontal="right"/>
    </xf>
    <xf numFmtId="170" fontId="13" fillId="2" borderId="9" xfId="1" applyNumberFormat="1" applyFont="1" applyFill="1" applyBorder="1" applyAlignment="1">
      <alignment horizontal="right"/>
    </xf>
    <xf numFmtId="170" fontId="4" fillId="0" borderId="1" xfId="1" applyNumberFormat="1" applyFont="1" applyBorder="1"/>
    <xf numFmtId="171" fontId="6" fillId="2" borderId="6" xfId="1" applyNumberFormat="1" applyFont="1" applyFill="1" applyBorder="1" applyAlignment="1">
      <alignment horizontal="right"/>
    </xf>
    <xf numFmtId="171" fontId="19" fillId="0" borderId="9" xfId="0" applyNumberFormat="1" applyFont="1" applyBorder="1" applyAlignment="1">
      <alignment vertical="center"/>
    </xf>
    <xf numFmtId="171" fontId="20" fillId="0" borderId="1" xfId="0" applyNumberFormat="1" applyFont="1" applyBorder="1" applyAlignment="1">
      <alignment vertical="center"/>
    </xf>
    <xf numFmtId="171" fontId="19" fillId="0" borderId="8" xfId="0" applyNumberFormat="1" applyFont="1" applyBorder="1" applyAlignment="1">
      <alignment vertical="center"/>
    </xf>
    <xf numFmtId="170" fontId="0" fillId="0" borderId="0" xfId="0" applyNumberFormat="1"/>
    <xf numFmtId="171" fontId="13" fillId="2" borderId="8" xfId="0" applyNumberFormat="1" applyFont="1" applyFill="1" applyBorder="1" applyAlignment="1">
      <alignment horizontal="right"/>
    </xf>
    <xf numFmtId="0" fontId="3" fillId="0" borderId="0" xfId="0" applyFont="1"/>
    <xf numFmtId="169" fontId="23" fillId="0" borderId="6" xfId="0" applyNumberFormat="1" applyFont="1" applyBorder="1"/>
    <xf numFmtId="0" fontId="3" fillId="0" borderId="7" xfId="0" applyFont="1" applyBorder="1" applyAlignment="1">
      <alignment horizontal="center"/>
    </xf>
    <xf numFmtId="172" fontId="5" fillId="0" borderId="3" xfId="0" applyNumberFormat="1" applyFont="1" applyFill="1" applyBorder="1" applyAlignment="1">
      <alignment vertical="center" wrapText="1"/>
    </xf>
    <xf numFmtId="172" fontId="5" fillId="0" borderId="3" xfId="0" applyNumberFormat="1" applyFont="1" applyFill="1" applyBorder="1" applyAlignment="1">
      <alignment vertical="center"/>
    </xf>
    <xf numFmtId="172" fontId="2" fillId="0" borderId="6" xfId="0" applyNumberFormat="1" applyFont="1" applyFill="1" applyBorder="1" applyAlignment="1">
      <alignment vertical="center"/>
    </xf>
    <xf numFmtId="172" fontId="5" fillId="0" borderId="1" xfId="0" applyNumberFormat="1" applyFont="1" applyFill="1" applyBorder="1" applyAlignment="1">
      <alignment vertical="center"/>
    </xf>
    <xf numFmtId="172" fontId="2" fillId="0" borderId="8" xfId="0" applyNumberFormat="1" applyFont="1" applyFill="1" applyBorder="1" applyAlignment="1">
      <alignment vertical="center"/>
    </xf>
    <xf numFmtId="172" fontId="2" fillId="0" borderId="8" xfId="0" applyNumberFormat="1" applyFont="1" applyFill="1" applyBorder="1" applyAlignment="1">
      <alignment vertical="center" wrapText="1"/>
    </xf>
    <xf numFmtId="172" fontId="2" fillId="0" borderId="9" xfId="0" applyNumberFormat="1" applyFont="1" applyFill="1" applyBorder="1" applyAlignment="1">
      <alignment vertical="center" wrapText="1"/>
    </xf>
    <xf numFmtId="171" fontId="4" fillId="0" borderId="1" xfId="0" applyNumberFormat="1" applyFont="1" applyBorder="1" applyAlignment="1">
      <alignment horizontal="right"/>
    </xf>
    <xf numFmtId="171" fontId="3" fillId="0" borderId="6" xfId="0" applyNumberFormat="1" applyFont="1" applyBorder="1" applyAlignment="1">
      <alignment horizontal="right"/>
    </xf>
    <xf numFmtId="171" fontId="6" fillId="2" borderId="1" xfId="1" applyNumberFormat="1" applyFont="1" applyFill="1" applyBorder="1" applyAlignment="1">
      <alignment horizontal="right" vertical="center"/>
    </xf>
    <xf numFmtId="171" fontId="13" fillId="2" borderId="6" xfId="1" applyNumberFormat="1" applyFont="1" applyFill="1" applyBorder="1" applyAlignment="1">
      <alignment horizontal="right" vertical="center"/>
    </xf>
    <xf numFmtId="171" fontId="4" fillId="0" borderId="8" xfId="1" applyNumberFormat="1" applyFont="1" applyBorder="1" applyAlignment="1">
      <alignment horizontal="right"/>
    </xf>
    <xf numFmtId="171" fontId="3" fillId="0" borderId="9" xfId="1" applyNumberFormat="1" applyFont="1" applyBorder="1" applyAlignment="1">
      <alignment horizontal="right"/>
    </xf>
    <xf numFmtId="171" fontId="4" fillId="0" borderId="1" xfId="0" applyNumberFormat="1" applyFont="1" applyBorder="1"/>
    <xf numFmtId="171" fontId="4" fillId="0" borderId="14" xfId="0" applyNumberFormat="1" applyFont="1" applyBorder="1"/>
    <xf numFmtId="170" fontId="6" fillId="2" borderId="1" xfId="1" applyNumberFormat="1" applyFont="1" applyFill="1" applyBorder="1" applyAlignment="1">
      <alignment horizontal="right" vertical="center"/>
    </xf>
    <xf numFmtId="170" fontId="3" fillId="0" borderId="6" xfId="1" applyNumberFormat="1" applyFont="1" applyBorder="1"/>
    <xf numFmtId="170" fontId="3" fillId="0" borderId="6" xfId="2" applyNumberFormat="1" applyFont="1" applyBorder="1"/>
    <xf numFmtId="170" fontId="8" fillId="5" borderId="29" xfId="1" applyNumberFormat="1" applyFont="1" applyFill="1" applyBorder="1" applyAlignment="1">
      <alignment horizontal="right" vertical="center"/>
    </xf>
    <xf numFmtId="170" fontId="8" fillId="5" borderId="1" xfId="1" applyNumberFormat="1" applyFont="1" applyFill="1" applyBorder="1" applyAlignment="1">
      <alignment horizontal="right" vertical="center"/>
    </xf>
    <xf numFmtId="170" fontId="10" fillId="5" borderId="30" xfId="1" applyNumberFormat="1" applyFont="1" applyFill="1" applyBorder="1" applyAlignment="1">
      <alignment horizontal="right" vertical="center"/>
    </xf>
    <xf numFmtId="170" fontId="10" fillId="5" borderId="31" xfId="1" applyNumberFormat="1" applyFont="1" applyFill="1" applyBorder="1" applyAlignment="1">
      <alignment horizontal="right" vertical="center"/>
    </xf>
    <xf numFmtId="170" fontId="10" fillId="5" borderId="32" xfId="1" applyNumberFormat="1" applyFont="1" applyFill="1" applyBorder="1" applyAlignment="1">
      <alignment horizontal="right" vertical="center"/>
    </xf>
    <xf numFmtId="170" fontId="10" fillId="5" borderId="33" xfId="1" applyNumberFormat="1" applyFont="1" applyFill="1" applyBorder="1" applyAlignment="1">
      <alignment horizontal="right" vertical="center"/>
    </xf>
    <xf numFmtId="170" fontId="8" fillId="5" borderId="6" xfId="1" applyNumberFormat="1" applyFont="1" applyFill="1" applyBorder="1" applyAlignment="1">
      <alignment horizontal="right" vertical="center"/>
    </xf>
    <xf numFmtId="170" fontId="10" fillId="5" borderId="9" xfId="1" applyNumberFormat="1" applyFont="1" applyFill="1" applyBorder="1" applyAlignment="1">
      <alignment horizontal="right" vertical="center"/>
    </xf>
    <xf numFmtId="170" fontId="13" fillId="0" borderId="9" xfId="1" applyNumberFormat="1" applyFont="1" applyFill="1" applyBorder="1" applyAlignment="1">
      <alignment horizontal="right"/>
    </xf>
    <xf numFmtId="170" fontId="8" fillId="5" borderId="5" xfId="1" applyNumberFormat="1" applyFont="1" applyFill="1" applyBorder="1" applyAlignment="1">
      <alignment horizontal="right" vertical="center"/>
    </xf>
    <xf numFmtId="170" fontId="10" fillId="5" borderId="7" xfId="1" applyNumberFormat="1" applyFont="1" applyFill="1" applyBorder="1" applyAlignment="1">
      <alignment horizontal="right" vertical="center"/>
    </xf>
    <xf numFmtId="170" fontId="10" fillId="5" borderId="8" xfId="1" applyNumberFormat="1" applyFont="1" applyFill="1" applyBorder="1" applyAlignment="1">
      <alignment horizontal="right" vertical="center"/>
    </xf>
    <xf numFmtId="170" fontId="6" fillId="10" borderId="1" xfId="1" applyNumberFormat="1" applyFont="1" applyFill="1" applyBorder="1" applyAlignment="1">
      <alignment horizontal="right"/>
    </xf>
    <xf numFmtId="170" fontId="13" fillId="10" borderId="8" xfId="1" applyNumberFormat="1" applyFont="1" applyFill="1" applyBorder="1" applyAlignment="1">
      <alignment horizontal="right"/>
    </xf>
    <xf numFmtId="170" fontId="10" fillId="5" borderId="1" xfId="1" applyNumberFormat="1" applyFont="1" applyFill="1" applyBorder="1" applyAlignment="1">
      <alignment horizontal="right" vertical="center"/>
    </xf>
    <xf numFmtId="170" fontId="10" fillId="5" borderId="8" xfId="1" applyNumberFormat="1" applyFont="1" applyFill="1" applyBorder="1" applyAlignment="1">
      <alignment horizontal="right"/>
    </xf>
    <xf numFmtId="170" fontId="10" fillId="5" borderId="9" xfId="1" applyNumberFormat="1" applyFont="1" applyFill="1" applyBorder="1" applyAlignment="1">
      <alignment horizontal="right"/>
    </xf>
    <xf numFmtId="170" fontId="6" fillId="8" borderId="1" xfId="1" applyNumberFormat="1" applyFont="1" applyFill="1" applyBorder="1" applyAlignment="1">
      <alignment horizontal="right" vertical="center"/>
    </xf>
    <xf numFmtId="170" fontId="4" fillId="8" borderId="1" xfId="0" applyNumberFormat="1" applyFont="1" applyFill="1" applyBorder="1"/>
    <xf numFmtId="170" fontId="13" fillId="8" borderId="8" xfId="1" applyNumberFormat="1" applyFont="1" applyFill="1" applyBorder="1" applyAlignment="1">
      <alignment horizontal="right" vertical="center"/>
    </xf>
    <xf numFmtId="170" fontId="4" fillId="0" borderId="1" xfId="0" applyNumberFormat="1" applyFont="1" applyBorder="1"/>
    <xf numFmtId="170" fontId="13" fillId="2" borderId="32" xfId="1" applyNumberFormat="1" applyFont="1" applyFill="1" applyBorder="1" applyAlignment="1">
      <alignment horizontal="right" vertical="center"/>
    </xf>
    <xf numFmtId="170" fontId="13" fillId="2" borderId="8" xfId="1" applyNumberFormat="1" applyFont="1" applyFill="1" applyBorder="1" applyAlignment="1">
      <alignment horizontal="right" vertical="center"/>
    </xf>
    <xf numFmtId="170" fontId="6" fillId="2" borderId="1" xfId="1" applyNumberFormat="1" applyFont="1" applyFill="1" applyBorder="1" applyAlignment="1"/>
    <xf numFmtId="170" fontId="13" fillId="2" borderId="8" xfId="1" applyNumberFormat="1" applyFont="1" applyFill="1" applyBorder="1" applyAlignment="1"/>
    <xf numFmtId="49" fontId="2" fillId="7" borderId="5" xfId="0" applyNumberFormat="1" applyFont="1" applyFill="1" applyBorder="1" applyAlignment="1">
      <alignment horizontal="center" vertical="center" wrapText="1"/>
    </xf>
    <xf numFmtId="49" fontId="13" fillId="7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49" fontId="13" fillId="3" borderId="6" xfId="0" applyNumberFormat="1" applyFont="1" applyFill="1" applyBorder="1" applyAlignment="1">
      <alignment horizontal="center" vertical="center" wrapText="1"/>
    </xf>
    <xf numFmtId="170" fontId="4" fillId="0" borderId="6" xfId="1" applyNumberFormat="1" applyFont="1" applyBorder="1"/>
    <xf numFmtId="0" fontId="28" fillId="3" borderId="1" xfId="0" applyFont="1" applyFill="1" applyBorder="1" applyAlignment="1">
      <alignment horizontal="center" vertical="center" wrapText="1"/>
    </xf>
    <xf numFmtId="49" fontId="2" fillId="7" borderId="5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13" fillId="7" borderId="1" xfId="0" applyNumberFormat="1" applyFont="1" applyFill="1" applyBorder="1" applyAlignment="1">
      <alignment horizontal="center" vertical="center" wrapText="1"/>
    </xf>
    <xf numFmtId="49" fontId="13" fillId="7" borderId="6" xfId="0" applyNumberFormat="1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left" vertical="center"/>
    </xf>
    <xf numFmtId="171" fontId="6" fillId="0" borderId="1" xfId="0" applyNumberFormat="1" applyFont="1" applyFill="1" applyBorder="1" applyAlignment="1">
      <alignment horizontal="right" vertical="center"/>
    </xf>
    <xf numFmtId="171" fontId="13" fillId="0" borderId="1" xfId="0" applyNumberFormat="1" applyFont="1" applyFill="1" applyBorder="1" applyAlignment="1">
      <alignment horizontal="right" vertical="center"/>
    </xf>
    <xf numFmtId="49" fontId="6" fillId="0" borderId="7" xfId="0" applyNumberFormat="1" applyFont="1" applyFill="1" applyBorder="1" applyAlignment="1">
      <alignment horizontal="left" vertical="center"/>
    </xf>
    <xf numFmtId="171" fontId="6" fillId="0" borderId="8" xfId="0" applyNumberFormat="1" applyFont="1" applyFill="1" applyBorder="1" applyAlignment="1">
      <alignment horizontal="right" vertical="center"/>
    </xf>
    <xf numFmtId="171" fontId="13" fillId="0" borderId="9" xfId="0" applyNumberFormat="1" applyFont="1" applyFill="1" applyBorder="1" applyAlignment="1">
      <alignment horizontal="right" vertical="center"/>
    </xf>
    <xf numFmtId="49" fontId="8" fillId="0" borderId="5" xfId="0" applyNumberFormat="1" applyFont="1" applyFill="1" applyBorder="1" applyAlignment="1">
      <alignment wrapText="1"/>
    </xf>
    <xf numFmtId="165" fontId="8" fillId="0" borderId="1" xfId="1" applyNumberFormat="1" applyFont="1" applyFill="1" applyBorder="1" applyAlignment="1">
      <alignment horizontal="right" vertical="center"/>
    </xf>
    <xf numFmtId="165" fontId="10" fillId="0" borderId="1" xfId="1" applyNumberFormat="1" applyFont="1" applyFill="1" applyBorder="1" applyAlignment="1">
      <alignment horizontal="right" vertical="center"/>
    </xf>
    <xf numFmtId="165" fontId="10" fillId="0" borderId="6" xfId="1" applyNumberFormat="1" applyFont="1" applyFill="1" applyBorder="1" applyAlignment="1">
      <alignment horizontal="right" vertical="center"/>
    </xf>
    <xf numFmtId="165" fontId="10" fillId="0" borderId="8" xfId="1" applyNumberFormat="1" applyFont="1" applyFill="1" applyBorder="1" applyAlignment="1">
      <alignment horizontal="right"/>
    </xf>
    <xf numFmtId="165" fontId="10" fillId="0" borderId="9" xfId="1" applyNumberFormat="1" applyFont="1" applyFill="1" applyBorder="1" applyAlignment="1">
      <alignment horizontal="right"/>
    </xf>
    <xf numFmtId="165" fontId="4" fillId="0" borderId="5" xfId="1" applyNumberFormat="1" applyFont="1" applyFill="1" applyBorder="1" applyAlignment="1">
      <alignment horizontal="right"/>
    </xf>
    <xf numFmtId="165" fontId="4" fillId="0" borderId="1" xfId="1" applyNumberFormat="1" applyFont="1" applyFill="1" applyBorder="1" applyAlignment="1">
      <alignment horizontal="right"/>
    </xf>
    <xf numFmtId="165" fontId="3" fillId="0" borderId="6" xfId="1" applyNumberFormat="1" applyFont="1" applyFill="1" applyBorder="1" applyAlignment="1">
      <alignment horizontal="right"/>
    </xf>
    <xf numFmtId="165" fontId="3" fillId="0" borderId="7" xfId="1" applyNumberFormat="1" applyFont="1" applyFill="1" applyBorder="1" applyAlignment="1">
      <alignment horizontal="right"/>
    </xf>
    <xf numFmtId="165" fontId="3" fillId="0" borderId="8" xfId="1" applyNumberFormat="1" applyFont="1" applyFill="1" applyBorder="1" applyAlignment="1">
      <alignment horizontal="right"/>
    </xf>
    <xf numFmtId="165" fontId="3" fillId="0" borderId="9" xfId="1" applyNumberFormat="1" applyFont="1" applyFill="1" applyBorder="1" applyAlignment="1">
      <alignment horizontal="right"/>
    </xf>
    <xf numFmtId="0" fontId="3" fillId="3" borderId="60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49" fontId="6" fillId="2" borderId="63" xfId="0" applyNumberFormat="1" applyFont="1" applyFill="1" applyBorder="1" applyAlignment="1">
      <alignment horizontal="left" vertical="center"/>
    </xf>
    <xf numFmtId="171" fontId="3" fillId="0" borderId="64" xfId="0" applyNumberFormat="1" applyFont="1" applyBorder="1"/>
    <xf numFmtId="171" fontId="3" fillId="0" borderId="65" xfId="0" applyNumberFormat="1" applyFont="1" applyBorder="1"/>
    <xf numFmtId="49" fontId="6" fillId="2" borderId="66" xfId="0" applyNumberFormat="1" applyFont="1" applyFill="1" applyBorder="1" applyAlignment="1">
      <alignment horizontal="left" vertical="center"/>
    </xf>
    <xf numFmtId="49" fontId="8" fillId="5" borderId="15" xfId="0" applyNumberFormat="1" applyFont="1" applyFill="1" applyBorder="1" applyAlignment="1">
      <alignment wrapText="1"/>
    </xf>
    <xf numFmtId="170" fontId="4" fillId="0" borderId="14" xfId="1" applyNumberFormat="1" applyFont="1" applyBorder="1"/>
    <xf numFmtId="170" fontId="3" fillId="0" borderId="16" xfId="1" applyNumberFormat="1" applyFont="1" applyBorder="1"/>
    <xf numFmtId="49" fontId="8" fillId="5" borderId="70" xfId="0" applyNumberFormat="1" applyFont="1" applyFill="1" applyBorder="1" applyAlignment="1">
      <alignment wrapText="1"/>
    </xf>
    <xf numFmtId="49" fontId="6" fillId="2" borderId="18" xfId="0" applyNumberFormat="1" applyFont="1" applyFill="1" applyBorder="1" applyAlignment="1">
      <alignment horizontal="left" vertical="center"/>
    </xf>
    <xf numFmtId="170" fontId="8" fillId="5" borderId="21" xfId="1" applyNumberFormat="1" applyFont="1" applyFill="1" applyBorder="1" applyAlignment="1">
      <alignment horizontal="right" vertical="center"/>
    </xf>
    <xf numFmtId="170" fontId="10" fillId="5" borderId="75" xfId="1" applyNumberFormat="1" applyFont="1" applyFill="1" applyBorder="1" applyAlignment="1">
      <alignment horizontal="right" vertical="center"/>
    </xf>
    <xf numFmtId="170" fontId="10" fillId="5" borderId="76" xfId="1" applyNumberFormat="1" applyFont="1" applyFill="1" applyBorder="1" applyAlignment="1">
      <alignment horizontal="right" vertical="center"/>
    </xf>
    <xf numFmtId="49" fontId="14" fillId="7" borderId="3" xfId="0" applyNumberFormat="1" applyFont="1" applyFill="1" applyBorder="1" applyAlignment="1">
      <alignment horizontal="center" vertical="center" wrapText="1"/>
    </xf>
    <xf numFmtId="170" fontId="8" fillId="0" borderId="1" xfId="1" applyNumberFormat="1" applyFont="1" applyFill="1" applyBorder="1" applyAlignment="1">
      <alignment horizontal="right" vertical="center"/>
    </xf>
    <xf numFmtId="165" fontId="10" fillId="5" borderId="9" xfId="1" applyNumberFormat="1" applyFont="1" applyFill="1" applyBorder="1" applyAlignment="1">
      <alignment horizontal="right" vertical="center"/>
    </xf>
    <xf numFmtId="49" fontId="25" fillId="7" borderId="5" xfId="0" applyNumberFormat="1" applyFont="1" applyFill="1" applyBorder="1" applyAlignment="1">
      <alignment horizontal="center" vertical="center" wrapText="1"/>
    </xf>
    <xf numFmtId="49" fontId="25" fillId="7" borderId="1" xfId="0" applyNumberFormat="1" applyFont="1" applyFill="1" applyBorder="1" applyAlignment="1">
      <alignment horizontal="center" vertical="center" wrapText="1"/>
    </xf>
    <xf numFmtId="49" fontId="29" fillId="6" borderId="1" xfId="0" applyNumberFormat="1" applyFont="1" applyFill="1" applyBorder="1" applyAlignment="1">
      <alignment horizontal="center" vertical="center" wrapText="1"/>
    </xf>
    <xf numFmtId="49" fontId="31" fillId="7" borderId="1" xfId="0" applyNumberFormat="1" applyFont="1" applyFill="1" applyBorder="1" applyAlignment="1">
      <alignment horizontal="center" vertical="center" wrapText="1"/>
    </xf>
    <xf numFmtId="165" fontId="6" fillId="10" borderId="1" xfId="1" applyNumberFormat="1" applyFont="1" applyFill="1" applyBorder="1" applyAlignment="1">
      <alignment horizontal="right"/>
    </xf>
    <xf numFmtId="165" fontId="13" fillId="10" borderId="1" xfId="1" applyNumberFormat="1" applyFont="1" applyFill="1" applyBorder="1" applyAlignment="1">
      <alignment horizontal="right" vertical="center" wrapText="1"/>
    </xf>
    <xf numFmtId="170" fontId="13" fillId="10" borderId="6" xfId="1" applyNumberFormat="1" applyFont="1" applyFill="1" applyBorder="1" applyAlignment="1">
      <alignment horizontal="right"/>
    </xf>
    <xf numFmtId="165" fontId="13" fillId="10" borderId="8" xfId="1" applyNumberFormat="1" applyFont="1" applyFill="1" applyBorder="1" applyAlignment="1">
      <alignment horizontal="right"/>
    </xf>
    <xf numFmtId="170" fontId="13" fillId="10" borderId="9" xfId="1" applyNumberFormat="1" applyFont="1" applyFill="1" applyBorder="1" applyAlignment="1">
      <alignment horizontal="right"/>
    </xf>
    <xf numFmtId="165" fontId="13" fillId="8" borderId="1" xfId="1" applyNumberFormat="1" applyFont="1" applyFill="1" applyBorder="1" applyAlignment="1">
      <alignment horizontal="right" vertical="center" wrapText="1"/>
    </xf>
    <xf numFmtId="165" fontId="3" fillId="8" borderId="1" xfId="1" applyNumberFormat="1" applyFont="1" applyFill="1" applyBorder="1"/>
    <xf numFmtId="170" fontId="3" fillId="8" borderId="6" xfId="1" applyNumberFormat="1" applyFont="1" applyFill="1" applyBorder="1"/>
    <xf numFmtId="170" fontId="13" fillId="8" borderId="9" xfId="1" applyNumberFormat="1" applyFont="1" applyFill="1" applyBorder="1" applyAlignment="1">
      <alignment horizontal="right" vertical="center"/>
    </xf>
    <xf numFmtId="164" fontId="6" fillId="10" borderId="1" xfId="1" applyFont="1" applyFill="1" applyBorder="1" applyAlignment="1">
      <alignment horizontal="right"/>
    </xf>
    <xf numFmtId="0" fontId="6" fillId="10" borderId="1" xfId="0" applyFont="1" applyFill="1" applyBorder="1" applyAlignment="1">
      <alignment horizontal="right"/>
    </xf>
    <xf numFmtId="165" fontId="13" fillId="10" borderId="1" xfId="1" applyNumberFormat="1" applyFont="1" applyFill="1" applyBorder="1" applyAlignment="1"/>
    <xf numFmtId="165" fontId="13" fillId="2" borderId="1" xfId="1" applyNumberFormat="1" applyFont="1" applyFill="1" applyBorder="1" applyAlignment="1">
      <alignment horizontal="right" vertical="center" wrapText="1"/>
    </xf>
    <xf numFmtId="170" fontId="13" fillId="2" borderId="30" xfId="1" applyNumberFormat="1" applyFont="1" applyFill="1" applyBorder="1" applyAlignment="1">
      <alignment horizontal="right" vertical="center"/>
    </xf>
    <xf numFmtId="170" fontId="13" fillId="2" borderId="33" xfId="1" applyNumberFormat="1" applyFont="1" applyFill="1" applyBorder="1" applyAlignment="1">
      <alignment horizontal="right" vertical="center"/>
    </xf>
    <xf numFmtId="0" fontId="13" fillId="10" borderId="8" xfId="0" applyFont="1" applyFill="1" applyBorder="1" applyAlignment="1">
      <alignment horizontal="right"/>
    </xf>
    <xf numFmtId="49" fontId="8" fillId="5" borderId="5" xfId="0" applyNumberFormat="1" applyFont="1" applyFill="1" applyBorder="1" applyAlignment="1"/>
    <xf numFmtId="170" fontId="10" fillId="5" borderId="6" xfId="1" applyNumberFormat="1" applyFont="1" applyFill="1" applyBorder="1" applyAlignment="1">
      <alignment horizontal="right" vertical="center"/>
    </xf>
    <xf numFmtId="0" fontId="0" fillId="0" borderId="0" xfId="0" applyFill="1"/>
    <xf numFmtId="0" fontId="3" fillId="3" borderId="1" xfId="0" applyFont="1" applyFill="1" applyBorder="1" applyAlignment="1">
      <alignment horizontal="center" vertical="center" wrapText="1"/>
    </xf>
    <xf numFmtId="165" fontId="13" fillId="2" borderId="1" xfId="1" applyNumberFormat="1" applyFont="1" applyFill="1" applyBorder="1" applyAlignment="1">
      <alignment horizontal="right" vertical="center"/>
    </xf>
    <xf numFmtId="170" fontId="13" fillId="2" borderId="6" xfId="1" applyNumberFormat="1" applyFont="1" applyFill="1" applyBorder="1" applyAlignment="1">
      <alignment horizontal="right" vertical="center"/>
    </xf>
    <xf numFmtId="164" fontId="3" fillId="0" borderId="1" xfId="1" applyFont="1" applyBorder="1"/>
    <xf numFmtId="170" fontId="13" fillId="2" borderId="9" xfId="1" applyNumberFormat="1" applyFont="1" applyFill="1" applyBorder="1" applyAlignment="1">
      <alignment horizontal="right" vertical="center"/>
    </xf>
    <xf numFmtId="170" fontId="13" fillId="2" borderId="6" xfId="1" applyNumberFormat="1" applyFont="1" applyFill="1" applyBorder="1" applyAlignment="1">
      <alignment horizontal="right" vertical="center" wrapText="1"/>
    </xf>
    <xf numFmtId="164" fontId="8" fillId="5" borderId="5" xfId="1" applyNumberFormat="1" applyFont="1" applyFill="1" applyBorder="1" applyAlignment="1">
      <alignment horizontal="right" vertical="center"/>
    </xf>
    <xf numFmtId="164" fontId="8" fillId="5" borderId="1" xfId="1" applyNumberFormat="1" applyFont="1" applyFill="1" applyBorder="1" applyAlignment="1">
      <alignment horizontal="right" vertical="center"/>
    </xf>
    <xf numFmtId="164" fontId="8" fillId="5" borderId="6" xfId="1" applyNumberFormat="1" applyFont="1" applyFill="1" applyBorder="1" applyAlignment="1">
      <alignment horizontal="right" vertical="center"/>
    </xf>
    <xf numFmtId="164" fontId="10" fillId="5" borderId="7" xfId="1" applyNumberFormat="1" applyFont="1" applyFill="1" applyBorder="1" applyAlignment="1">
      <alignment horizontal="right" vertical="center"/>
    </xf>
    <xf numFmtId="164" fontId="10" fillId="5" borderId="8" xfId="1" applyNumberFormat="1" applyFont="1" applyFill="1" applyBorder="1" applyAlignment="1">
      <alignment horizontal="right" vertical="center"/>
    </xf>
    <xf numFmtId="164" fontId="10" fillId="5" borderId="9" xfId="1" applyNumberFormat="1" applyFont="1" applyFill="1" applyBorder="1" applyAlignment="1">
      <alignment horizontal="right" vertical="center"/>
    </xf>
    <xf numFmtId="170" fontId="6" fillId="0" borderId="6" xfId="1" applyNumberFormat="1" applyFont="1" applyFill="1" applyBorder="1" applyAlignment="1">
      <alignment horizontal="right"/>
    </xf>
    <xf numFmtId="170" fontId="13" fillId="2" borderId="8" xfId="1" applyNumberFormat="1" applyFont="1" applyFill="1" applyBorder="1" applyAlignment="1">
      <alignment horizontal="right"/>
    </xf>
    <xf numFmtId="49" fontId="32" fillId="5" borderId="5" xfId="0" applyNumberFormat="1" applyFont="1" applyFill="1" applyBorder="1" applyAlignment="1">
      <alignment vertical="center" wrapText="1"/>
    </xf>
    <xf numFmtId="165" fontId="4" fillId="0" borderId="1" xfId="1" applyNumberFormat="1" applyFont="1" applyBorder="1"/>
    <xf numFmtId="166" fontId="33" fillId="2" borderId="5" xfId="2" applyNumberFormat="1" applyFont="1" applyFill="1" applyBorder="1" applyAlignment="1">
      <alignment vertical="center"/>
    </xf>
    <xf numFmtId="166" fontId="33" fillId="2" borderId="1" xfId="2" applyNumberFormat="1" applyFont="1" applyFill="1" applyBorder="1" applyAlignment="1">
      <alignment horizontal="right" vertical="center"/>
    </xf>
    <xf numFmtId="166" fontId="33" fillId="2" borderId="1" xfId="2" applyNumberFormat="1" applyFont="1" applyFill="1" applyBorder="1" applyAlignment="1">
      <alignment vertical="center"/>
    </xf>
    <xf numFmtId="166" fontId="31" fillId="2" borderId="1" xfId="2" applyNumberFormat="1" applyFont="1" applyFill="1" applyBorder="1" applyAlignment="1">
      <alignment vertical="center"/>
    </xf>
    <xf numFmtId="166" fontId="31" fillId="2" borderId="6" xfId="2" applyNumberFormat="1" applyFont="1" applyFill="1" applyBorder="1" applyAlignment="1">
      <alignment vertical="center"/>
    </xf>
    <xf numFmtId="0" fontId="26" fillId="0" borderId="5" xfId="0" applyFont="1" applyBorder="1"/>
    <xf numFmtId="0" fontId="26" fillId="0" borderId="1" xfId="0" applyFont="1" applyBorder="1"/>
    <xf numFmtId="0" fontId="24" fillId="0" borderId="1" xfId="0" applyFont="1" applyBorder="1"/>
    <xf numFmtId="0" fontId="24" fillId="0" borderId="6" xfId="0" applyFont="1" applyBorder="1"/>
    <xf numFmtId="166" fontId="24" fillId="0" borderId="7" xfId="2" applyNumberFormat="1" applyFont="1" applyBorder="1"/>
    <xf numFmtId="166" fontId="24" fillId="0" borderId="8" xfId="2" applyNumberFormat="1" applyFont="1" applyBorder="1"/>
    <xf numFmtId="166" fontId="24" fillId="0" borderId="9" xfId="2" applyNumberFormat="1" applyFont="1" applyBorder="1"/>
    <xf numFmtId="49" fontId="8" fillId="5" borderId="82" xfId="0" applyNumberFormat="1" applyFont="1" applyFill="1" applyBorder="1" applyAlignment="1">
      <alignment vertical="center" wrapText="1"/>
    </xf>
    <xf numFmtId="49" fontId="10" fillId="0" borderId="83" xfId="0" applyNumberFormat="1" applyFont="1" applyFill="1" applyBorder="1" applyAlignment="1">
      <alignment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vertical="center"/>
    </xf>
    <xf numFmtId="3" fontId="35" fillId="0" borderId="1" xfId="0" applyNumberFormat="1" applyFont="1" applyBorder="1"/>
    <xf numFmtId="172" fontId="35" fillId="0" borderId="1" xfId="0" applyNumberFormat="1" applyFont="1" applyBorder="1"/>
    <xf numFmtId="172" fontId="35" fillId="0" borderId="6" xfId="0" applyNumberFormat="1" applyFont="1" applyBorder="1"/>
    <xf numFmtId="0" fontId="34" fillId="0" borderId="7" xfId="0" applyFont="1" applyBorder="1" applyAlignment="1">
      <alignment horizontal="left"/>
    </xf>
    <xf numFmtId="3" fontId="34" fillId="0" borderId="8" xfId="0" applyNumberFormat="1" applyFont="1" applyBorder="1"/>
    <xf numFmtId="172" fontId="34" fillId="0" borderId="8" xfId="0" applyNumberFormat="1" applyFont="1" applyBorder="1"/>
    <xf numFmtId="172" fontId="34" fillId="0" borderId="9" xfId="0" applyNumberFormat="1" applyFont="1" applyBorder="1"/>
    <xf numFmtId="0" fontId="25" fillId="3" borderId="3" xfId="0" applyNumberFormat="1" applyFont="1" applyFill="1" applyBorder="1" applyAlignment="1">
      <alignment horizontal="center" vertical="center" wrapText="1"/>
    </xf>
    <xf numFmtId="0" fontId="25" fillId="3" borderId="4" xfId="0" applyNumberFormat="1" applyFont="1" applyFill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3" fontId="26" fillId="0" borderId="1" xfId="0" applyNumberFormat="1" applyFont="1" applyBorder="1"/>
    <xf numFmtId="172" fontId="26" fillId="0" borderId="1" xfId="0" applyNumberFormat="1" applyFont="1" applyBorder="1"/>
    <xf numFmtId="0" fontId="24" fillId="0" borderId="7" xfId="0" applyFont="1" applyBorder="1" applyAlignment="1">
      <alignment vertical="center"/>
    </xf>
    <xf numFmtId="3" fontId="24" fillId="0" borderId="8" xfId="0" applyNumberFormat="1" applyFont="1" applyBorder="1"/>
    <xf numFmtId="172" fontId="24" fillId="0" borderId="8" xfId="0" applyNumberFormat="1" applyFont="1" applyBorder="1"/>
    <xf numFmtId="3" fontId="26" fillId="0" borderId="1" xfId="0" applyNumberFormat="1" applyFont="1" applyFill="1" applyBorder="1"/>
    <xf numFmtId="172" fontId="26" fillId="0" borderId="1" xfId="0" applyNumberFormat="1" applyFont="1" applyFill="1" applyBorder="1"/>
    <xf numFmtId="172" fontId="27" fillId="0" borderId="6" xfId="0" applyNumberFormat="1" applyFont="1" applyFill="1" applyBorder="1" applyAlignment="1">
      <alignment vertical="center"/>
    </xf>
    <xf numFmtId="0" fontId="26" fillId="8" borderId="5" xfId="0" applyFont="1" applyFill="1" applyBorder="1"/>
    <xf numFmtId="3" fontId="26" fillId="8" borderId="1" xfId="0" applyNumberFormat="1" applyFont="1" applyFill="1" applyBorder="1"/>
    <xf numFmtId="3" fontId="24" fillId="8" borderId="8" xfId="0" applyNumberFormat="1" applyFont="1" applyFill="1" applyBorder="1"/>
    <xf numFmtId="3" fontId="4" fillId="0" borderId="1" xfId="0" applyNumberFormat="1" applyFont="1" applyFill="1" applyBorder="1" applyAlignment="1">
      <alignment horizontal="center"/>
    </xf>
    <xf numFmtId="172" fontId="4" fillId="0" borderId="6" xfId="0" applyNumberFormat="1" applyFont="1" applyFill="1" applyBorder="1" applyAlignment="1">
      <alignment horizontal="center"/>
    </xf>
    <xf numFmtId="172" fontId="3" fillId="0" borderId="9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vertical="center"/>
    </xf>
    <xf numFmtId="0" fontId="19" fillId="0" borderId="7" xfId="0" applyFont="1" applyFill="1" applyBorder="1" applyAlignment="1">
      <alignment vertical="center"/>
    </xf>
    <xf numFmtId="167" fontId="3" fillId="0" borderId="8" xfId="0" applyNumberFormat="1" applyFont="1" applyFill="1" applyBorder="1"/>
    <xf numFmtId="169" fontId="22" fillId="0" borderId="8" xfId="0" applyNumberFormat="1" applyFont="1" applyFill="1" applyBorder="1"/>
    <xf numFmtId="0" fontId="2" fillId="0" borderId="0" xfId="0" applyFont="1" applyAlignment="1"/>
    <xf numFmtId="0" fontId="27" fillId="0" borderId="0" xfId="0" applyFont="1" applyAlignment="1"/>
    <xf numFmtId="0" fontId="39" fillId="2" borderId="0" xfId="0" applyFont="1" applyFill="1" applyAlignment="1">
      <alignment vertical="center"/>
    </xf>
    <xf numFmtId="0" fontId="40" fillId="3" borderId="2" xfId="0" applyFont="1" applyFill="1" applyBorder="1" applyAlignment="1">
      <alignment horizontal="center" vertical="center" wrapText="1" readingOrder="1"/>
    </xf>
    <xf numFmtId="0" fontId="42" fillId="0" borderId="5" xfId="0" applyFont="1" applyBorder="1" applyAlignment="1">
      <alignment horizontal="left" vertical="center" wrapText="1" readingOrder="1"/>
    </xf>
    <xf numFmtId="0" fontId="44" fillId="0" borderId="7" xfId="0" applyFont="1" applyBorder="1" applyAlignment="1">
      <alignment horizontal="left" vertical="center" wrapText="1" readingOrder="1"/>
    </xf>
    <xf numFmtId="4" fontId="26" fillId="0" borderId="6" xfId="0" applyNumberFormat="1" applyFont="1" applyFill="1" applyBorder="1"/>
    <xf numFmtId="4" fontId="24" fillId="0" borderId="9" xfId="0" applyNumberFormat="1" applyFont="1" applyFill="1" applyBorder="1"/>
    <xf numFmtId="172" fontId="26" fillId="0" borderId="6" xfId="0" applyNumberFormat="1" applyFont="1" applyFill="1" applyBorder="1"/>
    <xf numFmtId="172" fontId="24" fillId="0" borderId="9" xfId="0" applyNumberFormat="1" applyFont="1" applyFill="1" applyBorder="1"/>
    <xf numFmtId="3" fontId="5" fillId="0" borderId="1" xfId="0" applyNumberFormat="1" applyFont="1" applyFill="1" applyBorder="1" applyAlignment="1">
      <alignment vertical="center"/>
    </xf>
    <xf numFmtId="3" fontId="0" fillId="0" borderId="6" xfId="0" applyNumberFormat="1" applyFill="1" applyBorder="1" applyAlignment="1">
      <alignment vertical="center"/>
    </xf>
    <xf numFmtId="3" fontId="15" fillId="0" borderId="8" xfId="0" applyNumberFormat="1" applyFont="1" applyFill="1" applyBorder="1" applyAlignment="1">
      <alignment vertical="center"/>
    </xf>
    <xf numFmtId="3" fontId="15" fillId="0" borderId="9" xfId="0" applyNumberFormat="1" applyFont="1" applyFill="1" applyBorder="1" applyAlignment="1">
      <alignment vertical="center"/>
    </xf>
    <xf numFmtId="0" fontId="46" fillId="7" borderId="8" xfId="0" applyFont="1" applyFill="1" applyBorder="1" applyAlignment="1">
      <alignment horizontal="center"/>
    </xf>
    <xf numFmtId="0" fontId="46" fillId="7" borderId="8" xfId="0" applyFont="1" applyFill="1" applyBorder="1" applyAlignment="1">
      <alignment horizontal="center" vertical="center"/>
    </xf>
    <xf numFmtId="0" fontId="47" fillId="2" borderId="58" xfId="0" applyFont="1" applyFill="1" applyBorder="1" applyAlignment="1">
      <alignment horizontal="left" vertical="center" wrapText="1"/>
    </xf>
    <xf numFmtId="168" fontId="47" fillId="2" borderId="56" xfId="1" applyNumberFormat="1" applyFont="1" applyFill="1" applyBorder="1" applyAlignment="1">
      <alignment horizontal="right" vertical="center"/>
    </xf>
    <xf numFmtId="0" fontId="47" fillId="2" borderId="5" xfId="0" applyFont="1" applyFill="1" applyBorder="1" applyAlignment="1">
      <alignment horizontal="left" vertical="center" wrapText="1"/>
    </xf>
    <xf numFmtId="168" fontId="47" fillId="2" borderId="1" xfId="1" applyNumberFormat="1" applyFont="1" applyFill="1" applyBorder="1" applyAlignment="1">
      <alignment horizontal="right" vertical="center"/>
    </xf>
    <xf numFmtId="168" fontId="14" fillId="2" borderId="8" xfId="1" applyNumberFormat="1" applyFont="1" applyFill="1" applyBorder="1" applyAlignment="1">
      <alignment horizontal="right" vertical="center"/>
    </xf>
    <xf numFmtId="0" fontId="25" fillId="7" borderId="1" xfId="0" applyFont="1" applyFill="1" applyBorder="1" applyAlignment="1">
      <alignment horizontal="center"/>
    </xf>
    <xf numFmtId="168" fontId="33" fillId="2" borderId="1" xfId="1" applyNumberFormat="1" applyFont="1" applyFill="1" applyBorder="1" applyAlignment="1">
      <alignment horizontal="right" vertical="center"/>
    </xf>
    <xf numFmtId="168" fontId="33" fillId="2" borderId="6" xfId="1" applyNumberFormat="1" applyFont="1" applyFill="1" applyBorder="1" applyAlignment="1">
      <alignment horizontal="right" vertical="center"/>
    </xf>
    <xf numFmtId="168" fontId="31" fillId="2" borderId="8" xfId="1" applyNumberFormat="1" applyFont="1" applyFill="1" applyBorder="1" applyAlignment="1">
      <alignment horizontal="right" vertical="center"/>
    </xf>
    <xf numFmtId="168" fontId="31" fillId="2" borderId="9" xfId="1" applyNumberFormat="1" applyFont="1" applyFill="1" applyBorder="1" applyAlignment="1">
      <alignment horizontal="right" vertical="center"/>
    </xf>
    <xf numFmtId="0" fontId="41" fillId="3" borderId="56" xfId="0" applyFont="1" applyFill="1" applyBorder="1" applyAlignment="1">
      <alignment horizontal="center" vertical="center" wrapText="1" readingOrder="1"/>
    </xf>
    <xf numFmtId="0" fontId="41" fillId="3" borderId="13" xfId="0" applyFont="1" applyFill="1" applyBorder="1" applyAlignment="1">
      <alignment horizontal="center" vertical="center" wrapText="1" readingOrder="1"/>
    </xf>
    <xf numFmtId="0" fontId="42" fillId="0" borderId="1" xfId="0" applyFont="1" applyBorder="1" applyAlignment="1">
      <alignment horizontal="center" vertical="center" wrapText="1" readingOrder="1"/>
    </xf>
    <xf numFmtId="0" fontId="43" fillId="0" borderId="1" xfId="0" applyFont="1" applyBorder="1" applyAlignment="1">
      <alignment horizontal="center" vertical="center" wrapText="1" readingOrder="1"/>
    </xf>
    <xf numFmtId="3" fontId="42" fillId="0" borderId="6" xfId="0" applyNumberFormat="1" applyFont="1" applyBorder="1" applyAlignment="1">
      <alignment horizontal="center" vertical="center" wrapText="1" readingOrder="1"/>
    </xf>
    <xf numFmtId="3" fontId="42" fillId="0" borderId="1" xfId="0" applyNumberFormat="1" applyFont="1" applyBorder="1" applyAlignment="1">
      <alignment horizontal="center" vertical="center" wrapText="1" readingOrder="1"/>
    </xf>
    <xf numFmtId="0" fontId="42" fillId="0" borderId="6" xfId="0" applyFont="1" applyBorder="1" applyAlignment="1">
      <alignment horizontal="center" vertical="center" wrapText="1" readingOrder="1"/>
    </xf>
    <xf numFmtId="3" fontId="44" fillId="0" borderId="8" xfId="0" applyNumberFormat="1" applyFont="1" applyBorder="1" applyAlignment="1">
      <alignment horizontal="center" vertical="center" wrapText="1" readingOrder="1"/>
    </xf>
    <xf numFmtId="0" fontId="44" fillId="0" borderId="8" xfId="0" applyFont="1" applyBorder="1" applyAlignment="1">
      <alignment horizontal="center" vertical="center" wrapText="1" readingOrder="1"/>
    </xf>
    <xf numFmtId="3" fontId="44" fillId="0" borderId="9" xfId="0" applyNumberFormat="1" applyFont="1" applyBorder="1" applyAlignment="1">
      <alignment horizontal="center" vertical="center" wrapText="1" readingOrder="1"/>
    </xf>
    <xf numFmtId="0" fontId="33" fillId="2" borderId="5" xfId="0" applyFont="1" applyFill="1" applyBorder="1" applyAlignment="1">
      <alignment horizontal="left" vertical="center" wrapText="1"/>
    </xf>
    <xf numFmtId="0" fontId="38" fillId="0" borderId="7" xfId="0" applyFont="1" applyBorder="1" applyAlignment="1">
      <alignment horizontal="left" vertical="center" wrapText="1" readingOrder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3" fontId="15" fillId="0" borderId="84" xfId="0" applyNumberFormat="1" applyFont="1" applyBorder="1"/>
    <xf numFmtId="3" fontId="15" fillId="0" borderId="41" xfId="0" applyNumberFormat="1" applyFont="1" applyBorder="1"/>
    <xf numFmtId="0" fontId="0" fillId="0" borderId="85" xfId="0" applyBorder="1" applyAlignment="1">
      <alignment vertical="top"/>
    </xf>
    <xf numFmtId="3" fontId="0" fillId="0" borderId="86" xfId="0" applyNumberFormat="1" applyFont="1" applyBorder="1"/>
    <xf numFmtId="3" fontId="0" fillId="0" borderId="87" xfId="0" applyNumberFormat="1" applyFont="1" applyBorder="1"/>
    <xf numFmtId="165" fontId="12" fillId="0" borderId="1" xfId="1" applyNumberFormat="1" applyFont="1" applyBorder="1"/>
    <xf numFmtId="165" fontId="12" fillId="0" borderId="6" xfId="1" applyNumberFormat="1" applyFont="1" applyBorder="1"/>
    <xf numFmtId="3" fontId="12" fillId="0" borderId="1" xfId="0" applyNumberFormat="1" applyFont="1" applyFill="1" applyBorder="1" applyAlignment="1">
      <alignment vertical="center"/>
    </xf>
    <xf numFmtId="3" fontId="11" fillId="0" borderId="1" xfId="0" applyNumberFormat="1" applyFont="1" applyFill="1" applyBorder="1" applyAlignment="1">
      <alignment vertical="center"/>
    </xf>
    <xf numFmtId="166" fontId="11" fillId="0" borderId="6" xfId="2" applyNumberFormat="1" applyFont="1" applyFill="1" applyBorder="1" applyAlignment="1">
      <alignment vertical="center"/>
    </xf>
    <xf numFmtId="3" fontId="11" fillId="0" borderId="8" xfId="0" applyNumberFormat="1" applyFont="1" applyBorder="1" applyAlignment="1">
      <alignment vertical="center"/>
    </xf>
    <xf numFmtId="170" fontId="4" fillId="0" borderId="1" xfId="1" applyNumberFormat="1" applyFont="1" applyFill="1" applyBorder="1"/>
    <xf numFmtId="170" fontId="4" fillId="0" borderId="6" xfId="1" applyNumberFormat="1" applyFont="1" applyFill="1" applyBorder="1"/>
    <xf numFmtId="164" fontId="4" fillId="0" borderId="1" xfId="1" applyFont="1" applyFill="1" applyBorder="1"/>
    <xf numFmtId="165" fontId="13" fillId="0" borderId="53" xfId="1" applyNumberFormat="1" applyFont="1" applyFill="1" applyBorder="1" applyAlignment="1">
      <alignment horizontal="right"/>
    </xf>
    <xf numFmtId="170" fontId="13" fillId="0" borderId="53" xfId="1" applyNumberFormat="1" applyFont="1" applyFill="1" applyBorder="1" applyAlignment="1">
      <alignment horizontal="right"/>
    </xf>
    <xf numFmtId="170" fontId="13" fillId="0" borderId="54" xfId="1" applyNumberFormat="1" applyFont="1" applyFill="1" applyBorder="1" applyAlignment="1">
      <alignment horizontal="right"/>
    </xf>
    <xf numFmtId="0" fontId="17" fillId="11" borderId="0" xfId="0" applyFont="1" applyFill="1" applyAlignment="1">
      <alignment horizontal="center" vertical="center" wrapText="1"/>
    </xf>
    <xf numFmtId="49" fontId="13" fillId="7" borderId="1" xfId="0" applyNumberFormat="1" applyFont="1" applyFill="1" applyBorder="1" applyAlignment="1">
      <alignment horizontal="center" vertical="center" wrapText="1"/>
    </xf>
    <xf numFmtId="49" fontId="13" fillId="7" borderId="6" xfId="0" applyNumberFormat="1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49" fontId="13" fillId="3" borderId="6" xfId="0" applyNumberFormat="1" applyFont="1" applyFill="1" applyBorder="1" applyAlignment="1">
      <alignment horizontal="center" vertical="center" wrapText="1"/>
    </xf>
    <xf numFmtId="49" fontId="2" fillId="3" borderId="25" xfId="0" applyNumberFormat="1" applyFont="1" applyFill="1" applyBorder="1" applyAlignment="1">
      <alignment horizontal="center" vertical="center" wrapText="1"/>
    </xf>
    <xf numFmtId="49" fontId="2" fillId="3" borderId="51" xfId="0" applyNumberFormat="1" applyFont="1" applyFill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left" vertical="center"/>
    </xf>
    <xf numFmtId="49" fontId="13" fillId="0" borderId="52" xfId="0" applyNumberFormat="1" applyFont="1" applyBorder="1" applyAlignment="1">
      <alignment horizontal="left"/>
    </xf>
    <xf numFmtId="49" fontId="6" fillId="0" borderId="5" xfId="0" applyNumberFormat="1" applyFont="1" applyBorder="1" applyAlignment="1">
      <alignment vertical="center"/>
    </xf>
    <xf numFmtId="49" fontId="13" fillId="0" borderId="7" xfId="0" applyNumberFormat="1" applyFont="1" applyBorder="1"/>
    <xf numFmtId="171" fontId="20" fillId="0" borderId="82" xfId="0" applyNumberFormat="1" applyFont="1" applyBorder="1" applyAlignment="1">
      <alignment vertical="center"/>
    </xf>
    <xf numFmtId="171" fontId="19" fillId="0" borderId="83" xfId="0" applyNumberFormat="1" applyFont="1" applyBorder="1" applyAlignment="1">
      <alignment vertical="center"/>
    </xf>
    <xf numFmtId="49" fontId="10" fillId="6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2" fillId="7" borderId="29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13" fillId="7" borderId="2" xfId="0" applyNumberFormat="1" applyFont="1" applyFill="1" applyBorder="1" applyAlignment="1">
      <alignment horizontal="center" vertical="center" wrapText="1"/>
    </xf>
    <xf numFmtId="49" fontId="13" fillId="7" borderId="3" xfId="0" applyNumberFormat="1" applyFont="1" applyFill="1" applyBorder="1" applyAlignment="1">
      <alignment horizontal="center" vertical="center" wrapText="1"/>
    </xf>
    <xf numFmtId="49" fontId="13" fillId="7" borderId="4" xfId="0" applyNumberFormat="1" applyFont="1" applyFill="1" applyBorder="1" applyAlignment="1">
      <alignment horizontal="center" vertical="center" wrapText="1"/>
    </xf>
    <xf numFmtId="0" fontId="25" fillId="3" borderId="2" xfId="0" applyNumberFormat="1" applyFont="1" applyFill="1" applyBorder="1" applyAlignment="1">
      <alignment horizontal="center" vertical="center"/>
    </xf>
    <xf numFmtId="0" fontId="49" fillId="0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15" fillId="3" borderId="94" xfId="0" applyFont="1" applyFill="1" applyBorder="1" applyAlignment="1">
      <alignment horizontal="left"/>
    </xf>
    <xf numFmtId="0" fontId="0" fillId="0" borderId="57" xfId="0" applyBorder="1" applyAlignment="1">
      <alignment vertical="top"/>
    </xf>
    <xf numFmtId="0" fontId="0" fillId="0" borderId="58" xfId="0" applyBorder="1" applyAlignment="1">
      <alignment vertical="top"/>
    </xf>
    <xf numFmtId="0" fontId="15" fillId="3" borderId="57" xfId="0" applyFont="1" applyFill="1" applyBorder="1" applyAlignment="1">
      <alignment horizontal="left"/>
    </xf>
    <xf numFmtId="0" fontId="15" fillId="3" borderId="95" xfId="0" applyFont="1" applyFill="1" applyBorder="1" applyAlignment="1">
      <alignment horizontal="left"/>
    </xf>
    <xf numFmtId="3" fontId="11" fillId="0" borderId="9" xfId="0" applyNumberFormat="1" applyFont="1" applyBorder="1"/>
    <xf numFmtId="172" fontId="37" fillId="0" borderId="1" xfId="0" applyNumberFormat="1" applyFont="1" applyFill="1" applyBorder="1"/>
    <xf numFmtId="172" fontId="28" fillId="0" borderId="8" xfId="0" applyNumberFormat="1" applyFont="1" applyFill="1" applyBorder="1"/>
    <xf numFmtId="4" fontId="37" fillId="0" borderId="1" xfId="0" applyNumberFormat="1" applyFont="1" applyFill="1" applyBorder="1"/>
    <xf numFmtId="4" fontId="28" fillId="0" borderId="8" xfId="0" applyNumberFormat="1" applyFont="1" applyFill="1" applyBorder="1"/>
    <xf numFmtId="3" fontId="20" fillId="0" borderId="1" xfId="0" applyNumberFormat="1" applyFont="1" applyFill="1" applyBorder="1" applyAlignment="1">
      <alignment horizontal="center"/>
    </xf>
    <xf numFmtId="172" fontId="20" fillId="0" borderId="6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4" fillId="0" borderId="7" xfId="0" applyFont="1" applyFill="1" applyBorder="1"/>
    <xf numFmtId="171" fontId="4" fillId="0" borderId="8" xfId="1" applyNumberFormat="1" applyFont="1" applyFill="1" applyBorder="1" applyAlignment="1">
      <alignment horizontal="right"/>
    </xf>
    <xf numFmtId="171" fontId="3" fillId="0" borderId="9" xfId="1" applyNumberFormat="1" applyFont="1" applyFill="1" applyBorder="1" applyAlignment="1">
      <alignment horizontal="right"/>
    </xf>
    <xf numFmtId="49" fontId="6" fillId="0" borderId="67" xfId="0" applyNumberFormat="1" applyFont="1" applyFill="1" applyBorder="1" applyAlignment="1">
      <alignment horizontal="left" vertical="center"/>
    </xf>
    <xf numFmtId="171" fontId="4" fillId="0" borderId="68" xfId="0" applyNumberFormat="1" applyFont="1" applyFill="1" applyBorder="1"/>
    <xf numFmtId="171" fontId="3" fillId="0" borderId="69" xfId="0" applyNumberFormat="1" applyFont="1" applyFill="1" applyBorder="1"/>
    <xf numFmtId="170" fontId="4" fillId="0" borderId="71" xfId="1" applyNumberFormat="1" applyFont="1" applyFill="1" applyBorder="1"/>
    <xf numFmtId="170" fontId="3" fillId="0" borderId="72" xfId="1" applyNumberFormat="1" applyFont="1" applyFill="1" applyBorder="1"/>
    <xf numFmtId="170" fontId="13" fillId="8" borderId="6" xfId="1" applyNumberFormat="1" applyFont="1" applyFill="1" applyBorder="1" applyAlignment="1">
      <alignment vertical="center" wrapText="1"/>
    </xf>
    <xf numFmtId="170" fontId="3" fillId="8" borderId="6" xfId="1" applyNumberFormat="1" applyFont="1" applyFill="1" applyBorder="1" applyAlignment="1"/>
    <xf numFmtId="3" fontId="15" fillId="0" borderId="86" xfId="0" applyNumberFormat="1" applyFont="1" applyBorder="1"/>
    <xf numFmtId="3" fontId="15" fillId="0" borderId="87" xfId="0" applyNumberFormat="1" applyFont="1" applyBorder="1"/>
    <xf numFmtId="3" fontId="15" fillId="0" borderId="96" xfId="0" applyNumberFormat="1" applyFont="1" applyBorder="1"/>
    <xf numFmtId="3" fontId="15" fillId="0" borderId="97" xfId="0" applyNumberFormat="1" applyFont="1" applyBorder="1"/>
    <xf numFmtId="165" fontId="1" fillId="0" borderId="0" xfId="1" applyNumberFormat="1" applyFont="1" applyFill="1" applyBorder="1"/>
    <xf numFmtId="0" fontId="11" fillId="3" borderId="10" xfId="0" applyFont="1" applyFill="1" applyBorder="1" applyAlignment="1">
      <alignment horizontal="center" vertical="center"/>
    </xf>
    <xf numFmtId="0" fontId="15" fillId="3" borderId="77" xfId="0" applyFont="1" applyFill="1" applyBorder="1" applyAlignment="1">
      <alignment horizontal="center" vertical="center" wrapText="1"/>
    </xf>
    <xf numFmtId="0" fontId="15" fillId="3" borderId="106" xfId="0" applyFont="1" applyFill="1" applyBorder="1" applyAlignment="1">
      <alignment horizontal="center" vertical="center" wrapText="1"/>
    </xf>
    <xf numFmtId="0" fontId="11" fillId="3" borderId="107" xfId="0" applyFont="1" applyFill="1" applyBorder="1" applyAlignment="1">
      <alignment horizontal="center" vertical="center"/>
    </xf>
    <xf numFmtId="0" fontId="3" fillId="0" borderId="2" xfId="0" applyFont="1" applyBorder="1"/>
    <xf numFmtId="3" fontId="12" fillId="0" borderId="3" xfId="0" applyNumberFormat="1" applyFont="1" applyFill="1" applyBorder="1" applyAlignment="1">
      <alignment vertical="center"/>
    </xf>
    <xf numFmtId="3" fontId="11" fillId="0" borderId="3" xfId="0" applyNumberFormat="1" applyFont="1" applyFill="1" applyBorder="1" applyAlignment="1">
      <alignment vertical="center"/>
    </xf>
    <xf numFmtId="166" fontId="11" fillId="0" borderId="4" xfId="2" applyNumberFormat="1" applyFont="1" applyFill="1" applyBorder="1" applyAlignment="1">
      <alignment vertical="center"/>
    </xf>
    <xf numFmtId="0" fontId="3" fillId="0" borderId="5" xfId="0" applyFont="1" applyBorder="1"/>
    <xf numFmtId="166" fontId="11" fillId="0" borderId="9" xfId="0" applyNumberFormat="1" applyFont="1" applyBorder="1" applyAlignment="1">
      <alignment vertical="center"/>
    </xf>
    <xf numFmtId="0" fontId="11" fillId="0" borderId="0" xfId="0" applyFont="1" applyBorder="1" applyAlignment="1">
      <alignment horizontal="left"/>
    </xf>
    <xf numFmtId="3" fontId="11" fillId="0" borderId="0" xfId="0" applyNumberFormat="1" applyFont="1" applyBorder="1" applyAlignment="1">
      <alignment vertical="center"/>
    </xf>
    <xf numFmtId="166" fontId="11" fillId="0" borderId="0" xfId="0" applyNumberFormat="1" applyFont="1" applyBorder="1" applyAlignment="1">
      <alignment vertical="center"/>
    </xf>
    <xf numFmtId="165" fontId="1" fillId="0" borderId="108" xfId="1" applyNumberFormat="1" applyFont="1" applyBorder="1" applyAlignment="1">
      <alignment horizontal="center" vertical="center"/>
    </xf>
    <xf numFmtId="165" fontId="1" fillId="0" borderId="108" xfId="1" applyNumberFormat="1" applyFont="1" applyBorder="1"/>
    <xf numFmtId="165" fontId="15" fillId="0" borderId="108" xfId="1" applyNumberFormat="1" applyFont="1" applyBorder="1"/>
    <xf numFmtId="0" fontId="19" fillId="0" borderId="0" xfId="0" applyFont="1"/>
    <xf numFmtId="49" fontId="13" fillId="7" borderId="1" xfId="0" applyNumberFormat="1" applyFont="1" applyFill="1" applyBorder="1" applyAlignment="1">
      <alignment horizontal="center" vertical="center" wrapText="1"/>
    </xf>
    <xf numFmtId="49" fontId="13" fillId="7" borderId="6" xfId="0" applyNumberFormat="1" applyFont="1" applyFill="1" applyBorder="1" applyAlignment="1">
      <alignment horizontal="center" vertical="center" wrapText="1"/>
    </xf>
    <xf numFmtId="49" fontId="13" fillId="0" borderId="0" xfId="0" applyNumberFormat="1" applyFont="1" applyFill="1" applyBorder="1" applyAlignment="1">
      <alignment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7" borderId="6" xfId="0" applyNumberFormat="1" applyFont="1" applyFill="1" applyBorder="1" applyAlignment="1">
      <alignment horizontal="center" vertical="center" wrapText="1"/>
    </xf>
    <xf numFmtId="0" fontId="52" fillId="0" borderId="5" xfId="0" applyFont="1" applyBorder="1"/>
    <xf numFmtId="165" fontId="47" fillId="0" borderId="1" xfId="1" applyNumberFormat="1" applyFont="1" applyFill="1" applyBorder="1" applyAlignment="1">
      <alignment horizontal="right"/>
    </xf>
    <xf numFmtId="170" fontId="47" fillId="0" borderId="1" xfId="1" applyNumberFormat="1" applyFont="1" applyFill="1" applyBorder="1" applyAlignment="1">
      <alignment horizontal="right"/>
    </xf>
    <xf numFmtId="0" fontId="47" fillId="0" borderId="1" xfId="0" applyFont="1" applyFill="1" applyBorder="1" applyAlignment="1">
      <alignment horizontal="right"/>
    </xf>
    <xf numFmtId="165" fontId="14" fillId="0" borderId="1" xfId="1" applyNumberFormat="1" applyFont="1" applyFill="1" applyBorder="1" applyAlignment="1">
      <alignment horizontal="right"/>
    </xf>
    <xf numFmtId="170" fontId="14" fillId="0" borderId="6" xfId="1" applyNumberFormat="1" applyFont="1" applyFill="1" applyBorder="1" applyAlignment="1">
      <alignment horizontal="right"/>
    </xf>
    <xf numFmtId="0" fontId="53" fillId="0" borderId="7" xfId="0" applyFont="1" applyBorder="1"/>
    <xf numFmtId="165" fontId="14" fillId="0" borderId="8" xfId="1" applyNumberFormat="1" applyFont="1" applyFill="1" applyBorder="1" applyAlignment="1">
      <alignment horizontal="right"/>
    </xf>
    <xf numFmtId="170" fontId="14" fillId="0" borderId="8" xfId="1" applyNumberFormat="1" applyFont="1" applyFill="1" applyBorder="1" applyAlignment="1">
      <alignment horizontal="right"/>
    </xf>
    <xf numFmtId="170" fontId="14" fillId="0" borderId="9" xfId="1" applyNumberFormat="1" applyFont="1" applyFill="1" applyBorder="1" applyAlignment="1">
      <alignment horizontal="right"/>
    </xf>
    <xf numFmtId="170" fontId="2" fillId="10" borderId="6" xfId="1" applyNumberFormat="1" applyFont="1" applyFill="1" applyBorder="1" applyAlignment="1">
      <alignment horizontal="right"/>
    </xf>
    <xf numFmtId="49" fontId="13" fillId="7" borderId="3" xfId="0" applyNumberFormat="1" applyFont="1" applyFill="1" applyBorder="1" applyAlignment="1">
      <alignment vertical="center" wrapText="1"/>
    </xf>
    <xf numFmtId="49" fontId="13" fillId="7" borderId="4" xfId="0" applyNumberFormat="1" applyFont="1" applyFill="1" applyBorder="1" applyAlignment="1">
      <alignment vertical="center" wrapText="1"/>
    </xf>
    <xf numFmtId="49" fontId="54" fillId="5" borderId="5" xfId="0" applyNumberFormat="1" applyFont="1" applyFill="1" applyBorder="1" applyAlignment="1">
      <alignment vertical="center" wrapText="1"/>
    </xf>
    <xf numFmtId="165" fontId="47" fillId="2" borderId="1" xfId="1" applyNumberFormat="1" applyFont="1" applyFill="1" applyBorder="1" applyAlignment="1"/>
    <xf numFmtId="170" fontId="47" fillId="2" borderId="1" xfId="1" applyNumberFormat="1" applyFont="1" applyFill="1" applyBorder="1" applyAlignment="1"/>
    <xf numFmtId="173" fontId="47" fillId="2" borderId="1" xfId="1" applyNumberFormat="1" applyFont="1" applyFill="1" applyBorder="1" applyAlignment="1"/>
    <xf numFmtId="0" fontId="47" fillId="2" borderId="1" xfId="0" applyFont="1" applyFill="1" applyBorder="1" applyAlignment="1">
      <alignment horizontal="right"/>
    </xf>
    <xf numFmtId="164" fontId="47" fillId="2" borderId="1" xfId="1" applyFont="1" applyFill="1" applyBorder="1" applyAlignment="1">
      <alignment horizontal="right"/>
    </xf>
    <xf numFmtId="0" fontId="47" fillId="2" borderId="1" xfId="0" applyFont="1" applyFill="1" applyBorder="1" applyAlignment="1"/>
    <xf numFmtId="165" fontId="14" fillId="2" borderId="1" xfId="1" applyNumberFormat="1" applyFont="1" applyFill="1" applyBorder="1" applyAlignment="1">
      <alignment horizontal="right" vertical="center" wrapText="1"/>
    </xf>
    <xf numFmtId="170" fontId="14" fillId="2" borderId="6" xfId="1" applyNumberFormat="1" applyFont="1" applyFill="1" applyBorder="1" applyAlignment="1">
      <alignment horizontal="right" vertical="center" wrapText="1"/>
    </xf>
    <xf numFmtId="49" fontId="55" fillId="0" borderId="7" xfId="0" applyNumberFormat="1" applyFont="1" applyFill="1" applyBorder="1" applyAlignment="1">
      <alignment vertical="center" wrapText="1"/>
    </xf>
    <xf numFmtId="165" fontId="14" fillId="2" borderId="8" xfId="1" applyNumberFormat="1" applyFont="1" applyFill="1" applyBorder="1" applyAlignment="1"/>
    <xf numFmtId="170" fontId="14" fillId="2" borderId="8" xfId="1" applyNumberFormat="1" applyFont="1" applyFill="1" applyBorder="1" applyAlignment="1"/>
    <xf numFmtId="173" fontId="14" fillId="2" borderId="8" xfId="1" applyNumberFormat="1" applyFont="1" applyFill="1" applyBorder="1" applyAlignment="1"/>
    <xf numFmtId="0" fontId="14" fillId="2" borderId="8" xfId="0" applyFont="1" applyFill="1" applyBorder="1" applyAlignment="1">
      <alignment horizontal="right"/>
    </xf>
    <xf numFmtId="164" fontId="14" fillId="2" borderId="8" xfId="1" applyFont="1" applyFill="1" applyBorder="1" applyAlignment="1">
      <alignment horizontal="right"/>
    </xf>
    <xf numFmtId="0" fontId="14" fillId="2" borderId="8" xfId="0" applyFont="1" applyFill="1" applyBorder="1" applyAlignment="1"/>
    <xf numFmtId="165" fontId="14" fillId="2" borderId="8" xfId="1" applyNumberFormat="1" applyFont="1" applyFill="1" applyBorder="1" applyAlignment="1">
      <alignment horizontal="right"/>
    </xf>
    <xf numFmtId="170" fontId="14" fillId="2" borderId="9" xfId="1" applyNumberFormat="1" applyFont="1" applyFill="1" applyBorder="1" applyAlignment="1">
      <alignment horizontal="right"/>
    </xf>
    <xf numFmtId="0" fontId="17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28" fillId="3" borderId="11" xfId="0" applyFont="1" applyFill="1" applyBorder="1" applyAlignment="1">
      <alignment horizontal="center" vertical="center" wrapText="1"/>
    </xf>
    <xf numFmtId="0" fontId="28" fillId="3" borderId="56" xfId="0" applyFont="1" applyFill="1" applyBorder="1" applyAlignment="1">
      <alignment horizontal="center" vertical="center" wrapText="1"/>
    </xf>
    <xf numFmtId="49" fontId="2" fillId="7" borderId="10" xfId="0" applyNumberFormat="1" applyFont="1" applyFill="1" applyBorder="1" applyAlignment="1">
      <alignment horizontal="center" vertical="center" wrapText="1"/>
    </xf>
    <xf numFmtId="49" fontId="2" fillId="7" borderId="57" xfId="0" applyNumberFormat="1" applyFont="1" applyFill="1" applyBorder="1" applyAlignment="1">
      <alignment horizontal="center" vertical="center" wrapText="1"/>
    </xf>
    <xf numFmtId="49" fontId="2" fillId="7" borderId="58" xfId="0" applyNumberFormat="1" applyFont="1" applyFill="1" applyBorder="1" applyAlignment="1">
      <alignment horizontal="center" vertical="center" wrapText="1"/>
    </xf>
    <xf numFmtId="49" fontId="2" fillId="7" borderId="20" xfId="0" applyNumberFormat="1" applyFont="1" applyFill="1" applyBorder="1" applyAlignment="1">
      <alignment horizontal="center" vertical="center" wrapText="1"/>
    </xf>
    <xf numFmtId="49" fontId="2" fillId="7" borderId="24" xfId="0" applyNumberFormat="1" applyFont="1" applyFill="1" applyBorder="1" applyAlignment="1">
      <alignment horizontal="center" vertical="center" wrapText="1"/>
    </xf>
    <xf numFmtId="49" fontId="2" fillId="7" borderId="46" xfId="0" applyNumberFormat="1" applyFont="1" applyFill="1" applyBorder="1" applyAlignment="1">
      <alignment horizontal="center" vertical="center" wrapText="1"/>
    </xf>
    <xf numFmtId="49" fontId="2" fillId="7" borderId="22" xfId="0" applyNumberFormat="1" applyFont="1" applyFill="1" applyBorder="1" applyAlignment="1">
      <alignment horizontal="center" vertical="center" wrapText="1"/>
    </xf>
    <xf numFmtId="49" fontId="13" fillId="7" borderId="14" xfId="0" applyNumberFormat="1" applyFont="1" applyFill="1" applyBorder="1" applyAlignment="1">
      <alignment horizontal="center" vertical="center" wrapText="1"/>
    </xf>
    <xf numFmtId="49" fontId="13" fillId="7" borderId="56" xfId="0" applyNumberFormat="1" applyFont="1" applyFill="1" applyBorder="1" applyAlignment="1">
      <alignment horizontal="center" vertical="center" wrapText="1"/>
    </xf>
    <xf numFmtId="49" fontId="13" fillId="7" borderId="55" xfId="0" applyNumberFormat="1" applyFont="1" applyFill="1" applyBorder="1" applyAlignment="1">
      <alignment horizontal="center" vertical="center" wrapText="1"/>
    </xf>
    <xf numFmtId="49" fontId="13" fillId="7" borderId="21" xfId="0" applyNumberFormat="1" applyFont="1" applyFill="1" applyBorder="1" applyAlignment="1">
      <alignment horizontal="center" vertical="center" wrapText="1"/>
    </xf>
    <xf numFmtId="49" fontId="13" fillId="7" borderId="42" xfId="0" applyNumberFormat="1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49" fontId="2" fillId="3" borderId="25" xfId="0" applyNumberFormat="1" applyFont="1" applyFill="1" applyBorder="1" applyAlignment="1">
      <alignment horizontal="center" vertical="center" wrapText="1"/>
    </xf>
    <xf numFmtId="49" fontId="2" fillId="3" borderId="51" xfId="0" applyNumberFormat="1" applyFont="1" applyFill="1" applyBorder="1" applyAlignment="1">
      <alignment horizontal="center" vertical="center" wrapText="1"/>
    </xf>
    <xf numFmtId="49" fontId="2" fillId="3" borderId="47" xfId="0" applyNumberFormat="1" applyFont="1" applyFill="1" applyBorder="1" applyAlignment="1">
      <alignment horizontal="center" vertical="center" wrapText="1"/>
    </xf>
    <xf numFmtId="49" fontId="2" fillId="3" borderId="50" xfId="0" applyNumberFormat="1" applyFont="1" applyFill="1" applyBorder="1" applyAlignment="1">
      <alignment horizontal="center" vertical="center" wrapText="1"/>
    </xf>
    <xf numFmtId="49" fontId="2" fillId="3" borderId="48" xfId="0" applyNumberFormat="1" applyFont="1" applyFill="1" applyBorder="1" applyAlignment="1">
      <alignment horizontal="center" vertical="center" wrapText="1"/>
    </xf>
    <xf numFmtId="49" fontId="2" fillId="3" borderId="49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49" fontId="13" fillId="3" borderId="6" xfId="0" applyNumberFormat="1" applyFont="1" applyFill="1" applyBorder="1" applyAlignment="1">
      <alignment horizontal="center" vertical="center" wrapText="1"/>
    </xf>
    <xf numFmtId="0" fontId="45" fillId="7" borderId="1" xfId="0" applyFont="1" applyFill="1" applyBorder="1" applyAlignment="1">
      <alignment horizontal="center" vertical="center"/>
    </xf>
    <xf numFmtId="0" fontId="45" fillId="7" borderId="55" xfId="0" applyFont="1" applyFill="1" applyBorder="1" applyAlignment="1">
      <alignment horizontal="center" vertical="center"/>
    </xf>
    <xf numFmtId="0" fontId="45" fillId="7" borderId="23" xfId="0" applyFont="1" applyFill="1" applyBorder="1" applyAlignment="1">
      <alignment horizontal="center" vertical="center"/>
    </xf>
    <xf numFmtId="0" fontId="45" fillId="7" borderId="21" xfId="0" applyFont="1" applyFill="1" applyBorder="1" applyAlignment="1">
      <alignment horizontal="center" vertical="center"/>
    </xf>
    <xf numFmtId="0" fontId="45" fillId="7" borderId="8" xfId="0" applyFont="1" applyFill="1" applyBorder="1" applyAlignment="1">
      <alignment horizontal="center" vertical="center"/>
    </xf>
    <xf numFmtId="0" fontId="45" fillId="7" borderId="6" xfId="0" applyFont="1" applyFill="1" applyBorder="1" applyAlignment="1">
      <alignment horizontal="center" vertical="center"/>
    </xf>
    <xf numFmtId="0" fontId="45" fillId="7" borderId="9" xfId="0" applyFont="1" applyFill="1" applyBorder="1" applyAlignment="1">
      <alignment horizontal="center" vertical="center"/>
    </xf>
    <xf numFmtId="0" fontId="45" fillId="7" borderId="20" xfId="0" applyFont="1" applyFill="1" applyBorder="1" applyAlignment="1">
      <alignment horizontal="center" vertical="center" wrapText="1"/>
    </xf>
    <xf numFmtId="0" fontId="45" fillId="7" borderId="24" xfId="0" applyFont="1" applyFill="1" applyBorder="1" applyAlignment="1">
      <alignment horizontal="center" vertical="center" wrapText="1"/>
    </xf>
    <xf numFmtId="0" fontId="45" fillId="7" borderId="46" xfId="0" applyFont="1" applyFill="1" applyBorder="1" applyAlignment="1">
      <alignment horizontal="center" vertical="center" wrapText="1"/>
    </xf>
    <xf numFmtId="0" fontId="45" fillId="7" borderId="3" xfId="0" applyFont="1" applyFill="1" applyBorder="1" applyAlignment="1">
      <alignment horizontal="center" vertical="center" wrapText="1"/>
    </xf>
    <xf numFmtId="0" fontId="45" fillId="7" borderId="4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 readingOrder="1"/>
    </xf>
    <xf numFmtId="0" fontId="21" fillId="3" borderId="57" xfId="0" applyFont="1" applyFill="1" applyBorder="1" applyAlignment="1">
      <alignment horizontal="center" vertical="center" wrapText="1" readingOrder="1"/>
    </xf>
    <xf numFmtId="0" fontId="21" fillId="3" borderId="58" xfId="0" applyFont="1" applyFill="1" applyBorder="1" applyAlignment="1">
      <alignment horizontal="center" vertical="center" wrapText="1" readingOrder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31" fillId="7" borderId="5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wrapText="1"/>
    </xf>
    <xf numFmtId="0" fontId="25" fillId="7" borderId="3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5" fillId="7" borderId="6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wrapText="1"/>
    </xf>
    <xf numFmtId="0" fontId="44" fillId="3" borderId="10" xfId="0" applyFont="1" applyFill="1" applyBorder="1" applyAlignment="1">
      <alignment horizontal="center" vertical="center" wrapText="1" readingOrder="1"/>
    </xf>
    <xf numFmtId="0" fontId="44" fillId="3" borderId="57" xfId="0" applyFont="1" applyFill="1" applyBorder="1" applyAlignment="1">
      <alignment horizontal="center" vertical="center" wrapText="1" readingOrder="1"/>
    </xf>
    <xf numFmtId="0" fontId="44" fillId="3" borderId="58" xfId="0" applyFont="1" applyFill="1" applyBorder="1" applyAlignment="1">
      <alignment horizontal="center" vertical="center" wrapText="1" readingOrder="1"/>
    </xf>
    <xf numFmtId="0" fontId="3" fillId="3" borderId="17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center" vertical="center" wrapText="1"/>
    </xf>
    <xf numFmtId="49" fontId="2" fillId="0" borderId="57" xfId="0" applyNumberFormat="1" applyFont="1" applyFill="1" applyBorder="1" applyAlignment="1">
      <alignment horizontal="center" vertical="center" wrapText="1"/>
    </xf>
    <xf numFmtId="49" fontId="2" fillId="0" borderId="59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 wrapText="1"/>
    </xf>
    <xf numFmtId="49" fontId="10" fillId="6" borderId="5" xfId="0" applyNumberFormat="1" applyFont="1" applyFill="1" applyBorder="1" applyAlignment="1">
      <alignment horizontal="center" vertical="center" wrapText="1"/>
    </xf>
    <xf numFmtId="49" fontId="10" fillId="6" borderId="3" xfId="0" applyNumberFormat="1" applyFont="1" applyFill="1" applyBorder="1" applyAlignment="1">
      <alignment horizontal="center" vertical="center" wrapText="1"/>
    </xf>
    <xf numFmtId="49" fontId="10" fillId="6" borderId="4" xfId="0" applyNumberFormat="1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 wrapText="1"/>
    </xf>
    <xf numFmtId="49" fontId="10" fillId="6" borderId="6" xfId="0" applyNumberFormat="1" applyFont="1" applyFill="1" applyBorder="1" applyAlignment="1">
      <alignment horizontal="center" vertical="center" wrapText="1"/>
    </xf>
    <xf numFmtId="49" fontId="2" fillId="7" borderId="28" xfId="0" applyNumberFormat="1" applyFont="1" applyFill="1" applyBorder="1" applyAlignment="1">
      <alignment horizontal="center" vertical="center" wrapText="1"/>
    </xf>
    <xf numFmtId="49" fontId="2" fillId="7" borderId="30" xfId="0" applyNumberFormat="1" applyFont="1" applyFill="1" applyBorder="1" applyAlignment="1">
      <alignment horizontal="center" vertical="center" wrapText="1"/>
    </xf>
    <xf numFmtId="49" fontId="2" fillId="7" borderId="2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2" fillId="7" borderId="74" xfId="0" applyNumberFormat="1" applyFont="1" applyFill="1" applyBorder="1" applyAlignment="1">
      <alignment horizontal="center" vertical="center" wrapText="1"/>
    </xf>
    <xf numFmtId="49" fontId="2" fillId="7" borderId="45" xfId="0" applyNumberFormat="1" applyFont="1" applyFill="1" applyBorder="1" applyAlignment="1">
      <alignment horizontal="center" vertical="center" wrapText="1"/>
    </xf>
    <xf numFmtId="49" fontId="2" fillId="7" borderId="14" xfId="0" applyNumberFormat="1" applyFont="1" applyFill="1" applyBorder="1" applyAlignment="1">
      <alignment horizontal="center" vertical="center" wrapText="1"/>
    </xf>
    <xf numFmtId="49" fontId="2" fillId="7" borderId="56" xfId="0" applyNumberFormat="1" applyFont="1" applyFill="1" applyBorder="1" applyAlignment="1">
      <alignment horizontal="center" vertical="center" wrapText="1"/>
    </xf>
    <xf numFmtId="49" fontId="10" fillId="6" borderId="14" xfId="0" applyNumberFormat="1" applyFont="1" applyFill="1" applyBorder="1" applyAlignment="1">
      <alignment horizontal="center" vertical="center" wrapText="1"/>
    </xf>
    <xf numFmtId="49" fontId="10" fillId="6" borderId="56" xfId="0" applyNumberFormat="1" applyFont="1" applyFill="1" applyBorder="1" applyAlignment="1">
      <alignment horizontal="center" vertical="center" wrapText="1"/>
    </xf>
    <xf numFmtId="49" fontId="2" fillId="7" borderId="73" xfId="0" applyNumberFormat="1" applyFont="1" applyFill="1" applyBorder="1" applyAlignment="1">
      <alignment horizontal="center" vertical="center" wrapText="1"/>
    </xf>
    <xf numFmtId="49" fontId="2" fillId="7" borderId="27" xfId="0" applyNumberFormat="1" applyFont="1" applyFill="1" applyBorder="1" applyAlignment="1">
      <alignment horizontal="center" vertical="center" wrapText="1"/>
    </xf>
    <xf numFmtId="49" fontId="10" fillId="6" borderId="34" xfId="0" applyNumberFormat="1" applyFont="1" applyFill="1" applyBorder="1" applyAlignment="1">
      <alignment horizontal="center" vertical="center" wrapText="1"/>
    </xf>
    <xf numFmtId="49" fontId="10" fillId="6" borderId="35" xfId="0" applyNumberFormat="1" applyFont="1" applyFill="1" applyBorder="1" applyAlignment="1">
      <alignment horizontal="center" vertical="center" wrapText="1"/>
    </xf>
    <xf numFmtId="49" fontId="10" fillId="6" borderId="36" xfId="0" applyNumberFormat="1" applyFont="1" applyFill="1" applyBorder="1" applyAlignment="1">
      <alignment horizontal="center" vertical="center" wrapText="1"/>
    </xf>
    <xf numFmtId="49" fontId="2" fillId="7" borderId="26" xfId="0" applyNumberFormat="1" applyFont="1" applyFill="1" applyBorder="1" applyAlignment="1">
      <alignment horizontal="center" vertical="center" wrapText="1"/>
    </xf>
    <xf numFmtId="49" fontId="2" fillId="7" borderId="29" xfId="0" applyNumberFormat="1" applyFont="1" applyFill="1" applyBorder="1" applyAlignment="1">
      <alignment horizontal="center" vertical="center" wrapText="1"/>
    </xf>
    <xf numFmtId="49" fontId="13" fillId="7" borderId="2" xfId="0" applyNumberFormat="1" applyFont="1" applyFill="1" applyBorder="1" applyAlignment="1">
      <alignment horizontal="center" vertical="center" wrapText="1"/>
    </xf>
    <xf numFmtId="49" fontId="13" fillId="7" borderId="5" xfId="0" applyNumberFormat="1" applyFont="1" applyFill="1" applyBorder="1" applyAlignment="1">
      <alignment horizontal="center" vertical="center" wrapText="1"/>
    </xf>
    <xf numFmtId="49" fontId="13" fillId="7" borderId="3" xfId="0" applyNumberFormat="1" applyFont="1" applyFill="1" applyBorder="1" applyAlignment="1">
      <alignment horizontal="center" vertical="center" wrapText="1"/>
    </xf>
    <xf numFmtId="49" fontId="13" fillId="7" borderId="4" xfId="0" applyNumberFormat="1" applyFont="1" applyFill="1" applyBorder="1" applyAlignment="1">
      <alignment horizontal="center" vertical="center" wrapText="1"/>
    </xf>
    <xf numFmtId="49" fontId="13" fillId="7" borderId="1" xfId="0" applyNumberFormat="1" applyFont="1" applyFill="1" applyBorder="1" applyAlignment="1">
      <alignment horizontal="center" vertical="center" wrapText="1"/>
    </xf>
    <xf numFmtId="49" fontId="13" fillId="7" borderId="6" xfId="0" applyNumberFormat="1" applyFont="1" applyFill="1" applyBorder="1" applyAlignment="1">
      <alignment horizontal="center" vertical="center" wrapText="1"/>
    </xf>
    <xf numFmtId="49" fontId="13" fillId="7" borderId="26" xfId="0" applyNumberFormat="1" applyFont="1" applyFill="1" applyBorder="1" applyAlignment="1">
      <alignment horizontal="center" vertical="center" wrapText="1"/>
    </xf>
    <xf numFmtId="49" fontId="13" fillId="7" borderId="29" xfId="0" applyNumberFormat="1" applyFont="1" applyFill="1" applyBorder="1" applyAlignment="1">
      <alignment horizontal="center" vertical="center" wrapText="1"/>
    </xf>
    <xf numFmtId="49" fontId="13" fillId="7" borderId="30" xfId="0" applyNumberFormat="1" applyFont="1" applyFill="1" applyBorder="1" applyAlignment="1">
      <alignment horizontal="center" vertical="center" wrapText="1"/>
    </xf>
    <xf numFmtId="49" fontId="13" fillId="3" borderId="2" xfId="0" applyNumberFormat="1" applyFont="1" applyFill="1" applyBorder="1" applyAlignment="1">
      <alignment horizontal="center" vertical="center" wrapText="1"/>
    </xf>
    <xf numFmtId="49" fontId="13" fillId="3" borderId="5" xfId="0" applyNumberFormat="1" applyFont="1" applyFill="1" applyBorder="1" applyAlignment="1">
      <alignment horizontal="center" vertical="center" wrapText="1"/>
    </xf>
    <xf numFmtId="49" fontId="13" fillId="3" borderId="20" xfId="0" applyNumberFormat="1" applyFont="1" applyFill="1" applyBorder="1" applyAlignment="1">
      <alignment horizontal="center" vertical="center" wrapText="1"/>
    </xf>
    <xf numFmtId="49" fontId="13" fillId="3" borderId="24" xfId="0" applyNumberFormat="1" applyFont="1" applyFill="1" applyBorder="1" applyAlignment="1">
      <alignment horizontal="center" vertical="center" wrapText="1"/>
    </xf>
    <xf numFmtId="49" fontId="13" fillId="3" borderId="22" xfId="0" applyNumberFormat="1" applyFont="1" applyFill="1" applyBorder="1" applyAlignment="1">
      <alignment horizontal="center" vertical="center" wrapText="1"/>
    </xf>
    <xf numFmtId="49" fontId="13" fillId="7" borderId="38" xfId="0" applyNumberFormat="1" applyFont="1" applyFill="1" applyBorder="1" applyAlignment="1">
      <alignment vertical="center" wrapText="1"/>
    </xf>
    <xf numFmtId="49" fontId="13" fillId="7" borderId="39" xfId="0" applyNumberFormat="1" applyFont="1" applyFill="1" applyBorder="1" applyAlignment="1">
      <alignment vertical="center" wrapText="1"/>
    </xf>
    <xf numFmtId="49" fontId="13" fillId="7" borderId="40" xfId="0" applyNumberFormat="1" applyFont="1" applyFill="1" applyBorder="1" applyAlignment="1">
      <alignment vertical="center" wrapText="1"/>
    </xf>
    <xf numFmtId="49" fontId="2" fillId="7" borderId="6" xfId="0" applyNumberFormat="1" applyFont="1" applyFill="1" applyBorder="1" applyAlignment="1">
      <alignment horizontal="center" vertical="center" wrapText="1"/>
    </xf>
    <xf numFmtId="49" fontId="2" fillId="7" borderId="5" xfId="0" applyNumberFormat="1" applyFont="1" applyFill="1" applyBorder="1" applyAlignment="1">
      <alignment horizontal="center" vertical="center" wrapText="1"/>
    </xf>
    <xf numFmtId="49" fontId="2" fillId="7" borderId="36" xfId="0" applyNumberFormat="1" applyFont="1" applyFill="1" applyBorder="1" applyAlignment="1">
      <alignment horizontal="center" vertical="center" wrapText="1"/>
    </xf>
    <xf numFmtId="49" fontId="2" fillId="7" borderId="44" xfId="0" applyNumberFormat="1" applyFont="1" applyFill="1" applyBorder="1" applyAlignment="1">
      <alignment horizontal="center" vertical="center" wrapText="1"/>
    </xf>
    <xf numFmtId="49" fontId="25" fillId="7" borderId="18" xfId="0" applyNumberFormat="1" applyFont="1" applyFill="1" applyBorder="1" applyAlignment="1">
      <alignment horizontal="center" vertical="center" wrapText="1"/>
    </xf>
    <xf numFmtId="49" fontId="25" fillId="7" borderId="23" xfId="0" applyNumberFormat="1" applyFont="1" applyFill="1" applyBorder="1" applyAlignment="1">
      <alignment horizontal="center" vertical="center" wrapText="1"/>
    </xf>
    <xf numFmtId="49" fontId="25" fillId="7" borderId="21" xfId="0" applyNumberFormat="1" applyFont="1" applyFill="1" applyBorder="1" applyAlignment="1">
      <alignment horizontal="center" vertical="center" wrapText="1"/>
    </xf>
    <xf numFmtId="49" fontId="25" fillId="7" borderId="16" xfId="0" applyNumberFormat="1" applyFont="1" applyFill="1" applyBorder="1" applyAlignment="1">
      <alignment horizontal="center" vertical="center" wrapText="1"/>
    </xf>
    <xf numFmtId="49" fontId="25" fillId="7" borderId="41" xfId="0" applyNumberFormat="1" applyFont="1" applyFill="1" applyBorder="1" applyAlignment="1">
      <alignment horizontal="center" vertical="center" wrapText="1"/>
    </xf>
    <xf numFmtId="49" fontId="25" fillId="7" borderId="13" xfId="0" applyNumberFormat="1" applyFont="1" applyFill="1" applyBorder="1" applyAlignment="1">
      <alignment horizontal="center" vertical="center" wrapText="1"/>
    </xf>
    <xf numFmtId="49" fontId="14" fillId="7" borderId="17" xfId="0" applyNumberFormat="1" applyFont="1" applyFill="1" applyBorder="1" applyAlignment="1">
      <alignment horizontal="center" vertical="center" wrapText="1"/>
    </xf>
    <xf numFmtId="49" fontId="14" fillId="7" borderId="5" xfId="0" applyNumberFormat="1" applyFont="1" applyFill="1" applyBorder="1" applyAlignment="1">
      <alignment horizontal="center" vertical="center" wrapText="1"/>
    </xf>
    <xf numFmtId="49" fontId="14" fillId="7" borderId="43" xfId="0" applyNumberFormat="1" applyFont="1" applyFill="1" applyBorder="1" applyAlignment="1">
      <alignment horizontal="center" vertical="center" wrapText="1"/>
    </xf>
    <xf numFmtId="49" fontId="14" fillId="7" borderId="45" xfId="0" applyNumberFormat="1" applyFont="1" applyFill="1" applyBorder="1" applyAlignment="1">
      <alignment horizontal="center" vertical="center" wrapText="1"/>
    </xf>
    <xf numFmtId="49" fontId="14" fillId="7" borderId="20" xfId="0" applyNumberFormat="1" applyFont="1" applyFill="1" applyBorder="1" applyAlignment="1">
      <alignment horizontal="center" vertical="center" wrapText="1"/>
    </xf>
    <xf numFmtId="49" fontId="14" fillId="7" borderId="46" xfId="0" applyNumberFormat="1" applyFont="1" applyFill="1" applyBorder="1" applyAlignment="1">
      <alignment horizontal="center" vertical="center" wrapText="1"/>
    </xf>
    <xf numFmtId="49" fontId="14" fillId="7" borderId="111" xfId="0" applyNumberFormat="1" applyFont="1" applyFill="1" applyBorder="1" applyAlignment="1">
      <alignment horizontal="center" vertical="center" wrapText="1"/>
    </xf>
    <xf numFmtId="49" fontId="14" fillId="7" borderId="109" xfId="0" applyNumberFormat="1" applyFont="1" applyFill="1" applyBorder="1" applyAlignment="1">
      <alignment horizontal="center" vertical="center" wrapText="1"/>
    </xf>
    <xf numFmtId="49" fontId="14" fillId="7" borderId="110" xfId="0" applyNumberFormat="1" applyFont="1" applyFill="1" applyBorder="1" applyAlignment="1">
      <alignment horizontal="center" vertical="center" wrapText="1"/>
    </xf>
    <xf numFmtId="49" fontId="14" fillId="7" borderId="107" xfId="0" applyNumberFormat="1" applyFont="1" applyFill="1" applyBorder="1" applyAlignment="1">
      <alignment horizontal="center" vertical="center" wrapText="1"/>
    </xf>
    <xf numFmtId="49" fontId="10" fillId="6" borderId="43" xfId="0" applyNumberFormat="1" applyFont="1" applyFill="1" applyBorder="1" applyAlignment="1">
      <alignment horizontal="center" vertical="center" wrapText="1"/>
    </xf>
    <xf numFmtId="49" fontId="10" fillId="6" borderId="44" xfId="0" applyNumberFormat="1" applyFont="1" applyFill="1" applyBorder="1" applyAlignment="1">
      <alignment horizontal="center" vertical="center" wrapText="1"/>
    </xf>
    <xf numFmtId="49" fontId="10" fillId="6" borderId="45" xfId="0" applyNumberFormat="1" applyFont="1" applyFill="1" applyBorder="1" applyAlignment="1">
      <alignment horizontal="center" vertical="center" wrapText="1"/>
    </xf>
    <xf numFmtId="49" fontId="10" fillId="6" borderId="41" xfId="0" applyNumberFormat="1" applyFont="1" applyFill="1" applyBorder="1" applyAlignment="1">
      <alignment horizontal="center" vertical="center" wrapText="1"/>
    </xf>
    <xf numFmtId="49" fontId="10" fillId="6" borderId="13" xfId="0" applyNumberFormat="1" applyFont="1" applyFill="1" applyBorder="1" applyAlignment="1">
      <alignment horizontal="center" vertical="center" wrapText="1"/>
    </xf>
    <xf numFmtId="49" fontId="10" fillId="6" borderId="20" xfId="0" applyNumberFormat="1" applyFont="1" applyFill="1" applyBorder="1" applyAlignment="1">
      <alignment horizontal="center" vertical="center" wrapText="1"/>
    </xf>
    <xf numFmtId="49" fontId="10" fillId="6" borderId="24" xfId="0" applyNumberFormat="1" applyFont="1" applyFill="1" applyBorder="1" applyAlignment="1">
      <alignment horizontal="center" vertical="center" wrapText="1"/>
    </xf>
    <xf numFmtId="49" fontId="10" fillId="6" borderId="22" xfId="0" applyNumberFormat="1" applyFont="1" applyFill="1" applyBorder="1" applyAlignment="1">
      <alignment horizontal="center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7" borderId="6" xfId="0" applyNumberFormat="1" applyFont="1" applyFill="1" applyBorder="1" applyAlignment="1">
      <alignment horizontal="center" vertical="center" wrapText="1"/>
    </xf>
    <xf numFmtId="49" fontId="13" fillId="7" borderId="23" xfId="0" applyNumberFormat="1" applyFont="1" applyFill="1" applyBorder="1" applyAlignment="1">
      <alignment horizontal="center" vertical="center" wrapText="1"/>
    </xf>
    <xf numFmtId="49" fontId="31" fillId="7" borderId="2" xfId="0" applyNumberFormat="1" applyFont="1" applyFill="1" applyBorder="1" applyAlignment="1">
      <alignment horizontal="center" vertical="center" wrapText="1"/>
    </xf>
    <xf numFmtId="49" fontId="31" fillId="7" borderId="5" xfId="0" applyNumberFormat="1" applyFont="1" applyFill="1" applyBorder="1" applyAlignment="1">
      <alignment horizontal="center" vertical="center" wrapText="1"/>
    </xf>
    <xf numFmtId="49" fontId="14" fillId="7" borderId="24" xfId="0" applyNumberFormat="1" applyFont="1" applyFill="1" applyBorder="1" applyAlignment="1">
      <alignment horizontal="center" vertical="center" wrapText="1"/>
    </xf>
    <xf numFmtId="49" fontId="13" fillId="7" borderId="20" xfId="0" applyNumberFormat="1" applyFont="1" applyFill="1" applyBorder="1" applyAlignment="1">
      <alignment vertical="center" wrapText="1"/>
    </xf>
    <xf numFmtId="49" fontId="13" fillId="7" borderId="24" xfId="0" applyNumberFormat="1" applyFont="1" applyFill="1" applyBorder="1" applyAlignment="1">
      <alignment vertical="center" wrapText="1"/>
    </xf>
    <xf numFmtId="49" fontId="13" fillId="7" borderId="22" xfId="0" applyNumberFormat="1" applyFont="1" applyFill="1" applyBorder="1" applyAlignment="1">
      <alignment vertical="center" wrapText="1"/>
    </xf>
    <xf numFmtId="49" fontId="14" fillId="7" borderId="2" xfId="0" applyNumberFormat="1" applyFont="1" applyFill="1" applyBorder="1" applyAlignment="1">
      <alignment horizontal="center" vertical="center" wrapText="1"/>
    </xf>
    <xf numFmtId="49" fontId="13" fillId="7" borderId="17" xfId="0" applyNumberFormat="1" applyFont="1" applyFill="1" applyBorder="1" applyAlignment="1">
      <alignment horizontal="center" vertical="center" wrapText="1"/>
    </xf>
    <xf numFmtId="49" fontId="13" fillId="7" borderId="18" xfId="0" applyNumberFormat="1" applyFont="1" applyFill="1" applyBorder="1" applyAlignment="1">
      <alignment horizontal="center" vertical="center" wrapText="1"/>
    </xf>
    <xf numFmtId="49" fontId="2" fillId="7" borderId="2" xfId="0" applyNumberFormat="1" applyFont="1" applyFill="1" applyBorder="1" applyAlignment="1">
      <alignment horizontal="center" vertical="center" wrapText="1"/>
    </xf>
    <xf numFmtId="49" fontId="2" fillId="7" borderId="3" xfId="0" applyNumberFormat="1" applyFont="1" applyFill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center" vertical="center" wrapText="1"/>
    </xf>
    <xf numFmtId="49" fontId="14" fillId="7" borderId="79" xfId="0" applyNumberFormat="1" applyFont="1" applyFill="1" applyBorder="1" applyAlignment="1">
      <alignment horizontal="center" vertical="center" wrapText="1"/>
    </xf>
    <xf numFmtId="49" fontId="14" fillId="7" borderId="80" xfId="0" applyNumberFormat="1" applyFont="1" applyFill="1" applyBorder="1" applyAlignment="1">
      <alignment horizontal="center" vertical="center" wrapText="1"/>
    </xf>
    <xf numFmtId="49" fontId="14" fillId="7" borderId="81" xfId="0" applyNumberFormat="1" applyFont="1" applyFill="1" applyBorder="1" applyAlignment="1">
      <alignment horizontal="center" vertical="center" wrapText="1"/>
    </xf>
    <xf numFmtId="165" fontId="15" fillId="3" borderId="99" xfId="1" applyNumberFormat="1" applyFont="1" applyFill="1" applyBorder="1" applyAlignment="1">
      <alignment horizontal="center" vertical="center" wrapText="1"/>
    </xf>
    <xf numFmtId="165" fontId="15" fillId="3" borderId="100" xfId="1" applyNumberFormat="1" applyFont="1" applyFill="1" applyBorder="1" applyAlignment="1">
      <alignment horizontal="center" vertical="center" wrapText="1"/>
    </xf>
    <xf numFmtId="165" fontId="15" fillId="3" borderId="102" xfId="1" applyNumberFormat="1" applyFont="1" applyFill="1" applyBorder="1" applyAlignment="1">
      <alignment horizontal="center" vertical="center" wrapText="1"/>
    </xf>
    <xf numFmtId="165" fontId="50" fillId="3" borderId="104" xfId="1" applyNumberFormat="1" applyFont="1" applyFill="1" applyBorder="1" applyAlignment="1">
      <alignment horizontal="center" vertical="center" wrapText="1"/>
    </xf>
    <xf numFmtId="165" fontId="50" fillId="3" borderId="103" xfId="1" applyNumberFormat="1" applyFont="1" applyFill="1" applyBorder="1" applyAlignment="1">
      <alignment horizontal="center" vertical="center" wrapText="1"/>
    </xf>
    <xf numFmtId="165" fontId="15" fillId="3" borderId="93" xfId="1" applyNumberFormat="1" applyFont="1" applyFill="1" applyBorder="1" applyAlignment="1">
      <alignment horizontal="center" vertical="center" wrapText="1"/>
    </xf>
    <xf numFmtId="165" fontId="15" fillId="3" borderId="78" xfId="1" applyNumberFormat="1" applyFont="1" applyFill="1" applyBorder="1" applyAlignment="1">
      <alignment horizontal="center" vertical="center" wrapText="1"/>
    </xf>
    <xf numFmtId="165" fontId="15" fillId="3" borderId="92" xfId="1" applyNumberFormat="1" applyFont="1" applyFill="1" applyBorder="1" applyAlignment="1">
      <alignment horizontal="center" vertical="center" wrapText="1"/>
    </xf>
    <xf numFmtId="165" fontId="15" fillId="3" borderId="90" xfId="1" applyNumberFormat="1" applyFont="1" applyFill="1" applyBorder="1" applyAlignment="1">
      <alignment horizontal="center" vertical="center" wrapText="1"/>
    </xf>
    <xf numFmtId="165" fontId="15" fillId="3" borderId="89" xfId="1" applyNumberFormat="1" applyFont="1" applyFill="1" applyBorder="1" applyAlignment="1">
      <alignment horizontal="center" vertical="center" wrapText="1"/>
    </xf>
    <xf numFmtId="165" fontId="15" fillId="3" borderId="91" xfId="1" applyNumberFormat="1" applyFont="1" applyFill="1" applyBorder="1" applyAlignment="1">
      <alignment horizontal="center" vertical="center" wrapText="1"/>
    </xf>
    <xf numFmtId="165" fontId="15" fillId="3" borderId="88" xfId="1" applyNumberFormat="1" applyFont="1" applyFill="1" applyBorder="1" applyAlignment="1">
      <alignment horizontal="center" vertical="center" wrapText="1"/>
    </xf>
    <xf numFmtId="165" fontId="15" fillId="3" borderId="105" xfId="1" applyNumberFormat="1" applyFont="1" applyFill="1" applyBorder="1" applyAlignment="1">
      <alignment horizontal="center" vertical="center" wrapText="1"/>
    </xf>
    <xf numFmtId="165" fontId="50" fillId="3" borderId="98" xfId="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/>
    </xf>
    <xf numFmtId="0" fontId="51" fillId="11" borderId="0" xfId="0" applyFont="1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55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165" fontId="15" fillId="3" borderId="101" xfId="1" applyNumberFormat="1" applyFont="1" applyFill="1" applyBorder="1" applyAlignment="1">
      <alignment horizontal="center" vertical="center" wrapText="1"/>
    </xf>
    <xf numFmtId="0" fontId="25" fillId="3" borderId="2" xfId="0" applyNumberFormat="1" applyFont="1" applyFill="1" applyBorder="1" applyAlignment="1">
      <alignment horizontal="center" vertical="center"/>
    </xf>
    <xf numFmtId="0" fontId="25" fillId="3" borderId="5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0" fontId="25" fillId="12" borderId="4" xfId="0" applyNumberFormat="1" applyFont="1" applyFill="1" applyBorder="1" applyAlignment="1">
      <alignment horizontal="center" vertical="center" wrapText="1"/>
    </xf>
    <xf numFmtId="0" fontId="25" fillId="12" borderId="6" xfId="0" applyNumberFormat="1" applyFont="1" applyFill="1" applyBorder="1" applyAlignment="1">
      <alignment horizontal="center" vertical="center" wrapText="1"/>
    </xf>
  </cellXfs>
  <cellStyles count="4">
    <cellStyle name="Migliaia" xfId="1" builtinId="3"/>
    <cellStyle name="Normal 2" xfId="3" xr:uid="{00000000-0005-0000-0000-000001000000}"/>
    <cellStyle name="Normale" xfId="0" builtinId="0"/>
    <cellStyle name="Percentuale" xfId="2" builtinId="5"/>
  </cellStyles>
  <dxfs count="0"/>
  <tableStyles count="0" defaultTableStyle="TableStyleMedium2" defaultPivotStyle="PivotStyleLight16"/>
  <colors>
    <mruColors>
      <color rgb="FF00CC00"/>
      <color rgb="FF60497A"/>
      <color rgb="FF66CCFF"/>
      <color rgb="FFCC66FF"/>
      <color rgb="FFCCFF66"/>
      <color rgb="FFFF99FF"/>
      <color rgb="FFFF66CC"/>
      <color rgb="FFCCC0DA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PwC">
  <a:themeElements>
    <a:clrScheme name="PwC Orange">
      <a:dk1>
        <a:srgbClr val="000000"/>
      </a:dk1>
      <a:lt1>
        <a:srgbClr val="FFFFFF"/>
      </a:lt1>
      <a:dk2>
        <a:srgbClr val="DC6900"/>
      </a:dk2>
      <a:lt2>
        <a:srgbClr val="FFFFFF"/>
      </a:lt2>
      <a:accent1>
        <a:srgbClr val="DC6900"/>
      </a:accent1>
      <a:accent2>
        <a:srgbClr val="FFB600"/>
      </a:accent2>
      <a:accent3>
        <a:srgbClr val="602320"/>
      </a:accent3>
      <a:accent4>
        <a:srgbClr val="E27588"/>
      </a:accent4>
      <a:accent5>
        <a:srgbClr val="A32020"/>
      </a:accent5>
      <a:accent6>
        <a:srgbClr val="E0301E"/>
      </a:accent6>
      <a:hlink>
        <a:srgbClr val="0000FF"/>
      </a:hlink>
      <a:folHlink>
        <a:srgbClr val="0000FF"/>
      </a:folHlink>
    </a:clrScheme>
    <a:fontScheme name="PwC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ltGray">
        <a:solidFill>
          <a:schemeClr val="tx2"/>
        </a:solidFill>
        <a:ln w="3175"/>
      </a:spPr>
      <a:bodyPr rtlCol="0" anchor="ctr"/>
      <a:lstStyle>
        <a:defPPr algn="ctr">
          <a:defRPr dirty="0" err="1" smtClean="0">
            <a:solidFill>
              <a:schemeClr val="bg1"/>
            </a:solidFill>
            <a:latin typeface="Georgia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lIns="0" tIns="0" rIns="0" bIns="0" rtlCol="0">
        <a:noAutofit/>
      </a:bodyPr>
      <a:lstStyle>
        <a:defPPr indent="-274320">
          <a:spcAft>
            <a:spcPts val="900"/>
          </a:spcAft>
          <a:defRPr sz="2000" dirty="0" err="1" smtClean="0">
            <a:latin typeface="Georgia" pitchFamily="18" charset="0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13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18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3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7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12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17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2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16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1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6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11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5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15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10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19" Type="http://schemas.openxmlformats.org/officeDocument/2006/relationships/printerSettings" Target="../printerSettings/printerSettings4.bin"/><Relationship Id="rId4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9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14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21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42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47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63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68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84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89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16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107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11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32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37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53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58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74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79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102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5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90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95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22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27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43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48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64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69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80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85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12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17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33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38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59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103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108" Type="http://schemas.openxmlformats.org/officeDocument/2006/relationships/printerSettings" Target="../printerSettings/printerSettings5.bin"/><Relationship Id="rId20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41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54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62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70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75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83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88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91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96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1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6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15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23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28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36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49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57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106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10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31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44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52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60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65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73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78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81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86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94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99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101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4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9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13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18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39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34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50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55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76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97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104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7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71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92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2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29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24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40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45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66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87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61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82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19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14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30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35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56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77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100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105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8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51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72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93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98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3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25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46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67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21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42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47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63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68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2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16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29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11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24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32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37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40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45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53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58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66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5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61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19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14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22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27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30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35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43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48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56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64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69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8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51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72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3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12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17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25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33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38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46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59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67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20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41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54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62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70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1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6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15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23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28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36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49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57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10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31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44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52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60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65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73" Type="http://schemas.openxmlformats.org/officeDocument/2006/relationships/printerSettings" Target="../printerSettings/printerSettings6.bin"/><Relationship Id="rId4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9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13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18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39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34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50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55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7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71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18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26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39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21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34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42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47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50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55" Type="http://schemas.openxmlformats.org/officeDocument/2006/relationships/printerSettings" Target="../printerSettings/printerSettings7.bin"/><Relationship Id="rId7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2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16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29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11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24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32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37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40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45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53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5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10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19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31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44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52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4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9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14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22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27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30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35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43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48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8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51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3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12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17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25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33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38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46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20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41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54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1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6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15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23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28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36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49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"/>
  <sheetViews>
    <sheetView tabSelected="1" topLeftCell="A116" zoomScale="69" zoomScaleNormal="69" workbookViewId="0">
      <selection activeCell="G132" sqref="G132"/>
    </sheetView>
  </sheetViews>
  <sheetFormatPr defaultColWidth="8.83203125" defaultRowHeight="14" x14ac:dyDescent="0.3"/>
  <cols>
    <col min="1" max="1" width="21.1640625" bestFit="1" customWidth="1"/>
    <col min="2" max="9" width="16.6640625" customWidth="1"/>
    <col min="10" max="10" width="20.83203125" bestFit="1" customWidth="1"/>
    <col min="11" max="11" width="16.5" customWidth="1"/>
  </cols>
  <sheetData>
    <row r="1" spans="1:11" ht="28.5" customHeight="1" x14ac:dyDescent="0.3">
      <c r="A1" s="478" t="s">
        <v>218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</row>
    <row r="2" spans="1:11" ht="14.5" thickBot="1" x14ac:dyDescent="0.35"/>
    <row r="3" spans="1:11" ht="14.25" customHeight="1" x14ac:dyDescent="0.3">
      <c r="A3" s="503" t="s">
        <v>76</v>
      </c>
      <c r="B3" s="505" t="s">
        <v>79</v>
      </c>
      <c r="C3" s="505" t="s">
        <v>80</v>
      </c>
      <c r="D3" s="505"/>
      <c r="E3" s="505"/>
      <c r="F3" s="505" t="s">
        <v>81</v>
      </c>
      <c r="G3" s="505"/>
      <c r="H3" s="505"/>
      <c r="I3" s="505" t="s">
        <v>82</v>
      </c>
      <c r="J3" s="505"/>
      <c r="K3" s="506"/>
    </row>
    <row r="4" spans="1:11" x14ac:dyDescent="0.3">
      <c r="A4" s="504"/>
      <c r="B4" s="501"/>
      <c r="C4" s="501" t="s">
        <v>83</v>
      </c>
      <c r="D4" s="501" t="s">
        <v>84</v>
      </c>
      <c r="E4" s="501"/>
      <c r="F4" s="501" t="s">
        <v>83</v>
      </c>
      <c r="G4" s="501" t="s">
        <v>84</v>
      </c>
      <c r="H4" s="501"/>
      <c r="I4" s="501" t="s">
        <v>83</v>
      </c>
      <c r="J4" s="501" t="s">
        <v>84</v>
      </c>
      <c r="K4" s="502"/>
    </row>
    <row r="5" spans="1:11" ht="35.25" customHeight="1" x14ac:dyDescent="0.3">
      <c r="A5" s="504"/>
      <c r="B5" s="501"/>
      <c r="C5" s="501"/>
      <c r="D5" s="372" t="s">
        <v>49</v>
      </c>
      <c r="E5" s="372" t="s">
        <v>85</v>
      </c>
      <c r="F5" s="501"/>
      <c r="G5" s="372" t="s">
        <v>49</v>
      </c>
      <c r="H5" s="372" t="s">
        <v>85</v>
      </c>
      <c r="I5" s="501"/>
      <c r="J5" s="372" t="s">
        <v>49</v>
      </c>
      <c r="K5" s="373" t="s">
        <v>85</v>
      </c>
    </row>
    <row r="6" spans="1:11" x14ac:dyDescent="0.3">
      <c r="A6" s="374" t="s">
        <v>3</v>
      </c>
      <c r="B6" s="77">
        <v>12</v>
      </c>
      <c r="C6" s="77">
        <v>12</v>
      </c>
      <c r="D6" s="77">
        <v>86</v>
      </c>
      <c r="E6" s="361">
        <v>2.358721496153501</v>
      </c>
      <c r="F6" s="77">
        <v>12</v>
      </c>
      <c r="G6" s="77">
        <v>333</v>
      </c>
      <c r="H6" s="361">
        <v>9.1331890490594869</v>
      </c>
      <c r="I6" s="77">
        <v>12</v>
      </c>
      <c r="J6" s="77">
        <v>41</v>
      </c>
      <c r="K6" s="362">
        <v>1.124506759794111</v>
      </c>
    </row>
    <row r="7" spans="1:11" x14ac:dyDescent="0.3">
      <c r="A7" s="374" t="s">
        <v>4</v>
      </c>
      <c r="B7" s="77">
        <v>1</v>
      </c>
      <c r="C7" s="77">
        <v>1</v>
      </c>
      <c r="D7" s="77">
        <v>6</v>
      </c>
      <c r="E7" s="361">
        <v>5.7329040025224778</v>
      </c>
      <c r="F7" s="77">
        <v>1</v>
      </c>
      <c r="G7" s="77">
        <v>9</v>
      </c>
      <c r="H7" s="361">
        <v>8.5993560037837167</v>
      </c>
      <c r="I7" s="77">
        <v>1</v>
      </c>
      <c r="J7" s="77">
        <v>3</v>
      </c>
      <c r="K7" s="362">
        <v>2.8664520012612389</v>
      </c>
    </row>
    <row r="8" spans="1:11" x14ac:dyDescent="0.3">
      <c r="A8" s="374" t="s">
        <v>5</v>
      </c>
      <c r="B8" s="77">
        <v>35</v>
      </c>
      <c r="C8" s="77">
        <v>27</v>
      </c>
      <c r="D8" s="77">
        <v>147</v>
      </c>
      <c r="E8" s="361">
        <v>1.7378906263854359</v>
      </c>
      <c r="F8" s="77">
        <v>36</v>
      </c>
      <c r="G8" s="77">
        <v>319</v>
      </c>
      <c r="H8" s="361">
        <v>3.7713408831085307</v>
      </c>
      <c r="I8" s="77">
        <v>36</v>
      </c>
      <c r="J8" s="77">
        <v>147</v>
      </c>
      <c r="K8" s="362">
        <v>1.7378906263854359</v>
      </c>
    </row>
    <row r="9" spans="1:11" x14ac:dyDescent="0.3">
      <c r="A9" s="374" t="s">
        <v>97</v>
      </c>
      <c r="B9" s="77">
        <v>1</v>
      </c>
      <c r="C9" s="77">
        <v>1</v>
      </c>
      <c r="D9" s="77">
        <v>11</v>
      </c>
      <c r="E9" s="361">
        <v>2.5077397969186714</v>
      </c>
      <c r="F9" s="77">
        <v>1</v>
      </c>
      <c r="G9" s="77">
        <v>9</v>
      </c>
      <c r="H9" s="361">
        <v>2.0517871065698223</v>
      </c>
      <c r="I9" s="77">
        <v>1</v>
      </c>
      <c r="J9" s="77">
        <v>3</v>
      </c>
      <c r="K9" s="362">
        <v>0.68392903552327411</v>
      </c>
    </row>
    <row r="10" spans="1:11" x14ac:dyDescent="0.3">
      <c r="A10" s="374" t="s">
        <v>86</v>
      </c>
      <c r="B10" s="77">
        <v>1</v>
      </c>
      <c r="C10" s="77">
        <v>1</v>
      </c>
      <c r="D10" s="77">
        <v>10</v>
      </c>
      <c r="E10" s="361">
        <v>2.1903070153343394</v>
      </c>
      <c r="F10" s="77">
        <v>1</v>
      </c>
      <c r="G10" s="77">
        <v>12</v>
      </c>
      <c r="H10" s="361">
        <v>2.6283684184012075</v>
      </c>
      <c r="I10" s="77">
        <v>1</v>
      </c>
      <c r="J10" s="77">
        <v>7</v>
      </c>
      <c r="K10" s="362">
        <v>1.5332149107340374</v>
      </c>
    </row>
    <row r="11" spans="1:11" x14ac:dyDescent="0.3">
      <c r="A11" s="374" t="s">
        <v>6</v>
      </c>
      <c r="B11" s="77">
        <v>9</v>
      </c>
      <c r="C11" s="77">
        <v>10</v>
      </c>
      <c r="D11" s="77">
        <v>171</v>
      </c>
      <c r="E11" s="361">
        <v>4.1465884489140308</v>
      </c>
      <c r="F11" s="77">
        <v>11</v>
      </c>
      <c r="G11" s="77">
        <v>260</v>
      </c>
      <c r="H11" s="361">
        <v>6.3047543667698704</v>
      </c>
      <c r="I11" s="77">
        <v>9</v>
      </c>
      <c r="J11" s="77">
        <v>170</v>
      </c>
      <c r="K11" s="362">
        <v>4.1223393936572235</v>
      </c>
    </row>
    <row r="12" spans="1:11" x14ac:dyDescent="0.3">
      <c r="A12" s="374" t="s">
        <v>22</v>
      </c>
      <c r="B12" s="77">
        <v>3</v>
      </c>
      <c r="C12" s="77">
        <v>3</v>
      </c>
      <c r="D12" s="77">
        <v>22</v>
      </c>
      <c r="E12" s="361">
        <v>2.1380313007782434</v>
      </c>
      <c r="F12" s="77">
        <v>3</v>
      </c>
      <c r="G12" s="77">
        <v>27</v>
      </c>
      <c r="H12" s="361">
        <v>2.6239475055005714</v>
      </c>
      <c r="I12" s="77">
        <v>3</v>
      </c>
      <c r="J12" s="77">
        <v>25</v>
      </c>
      <c r="K12" s="362">
        <v>2.4295810236116404</v>
      </c>
    </row>
    <row r="13" spans="1:11" x14ac:dyDescent="0.3">
      <c r="A13" s="374" t="s">
        <v>7</v>
      </c>
      <c r="B13" s="77">
        <v>5</v>
      </c>
      <c r="C13" s="77">
        <v>5</v>
      </c>
      <c r="D13" s="77">
        <v>25</v>
      </c>
      <c r="E13" s="361">
        <v>1.906490456108777</v>
      </c>
      <c r="F13" s="77">
        <v>5</v>
      </c>
      <c r="G13" s="77">
        <v>61</v>
      </c>
      <c r="H13" s="361">
        <v>4.651836712905415</v>
      </c>
      <c r="I13" s="77">
        <v>5</v>
      </c>
      <c r="J13" s="77">
        <v>14</v>
      </c>
      <c r="K13" s="362">
        <v>1.0676346554209151</v>
      </c>
    </row>
    <row r="14" spans="1:11" x14ac:dyDescent="0.3">
      <c r="A14" s="374" t="s">
        <v>8</v>
      </c>
      <c r="B14" s="77">
        <v>10</v>
      </c>
      <c r="C14" s="77">
        <v>10</v>
      </c>
      <c r="D14" s="77">
        <v>66</v>
      </c>
      <c r="E14" s="361">
        <v>1.7432724869604539</v>
      </c>
      <c r="F14" s="77">
        <v>10</v>
      </c>
      <c r="G14" s="77">
        <v>193</v>
      </c>
      <c r="H14" s="361">
        <v>5.0977513633843579</v>
      </c>
      <c r="I14" s="77">
        <v>9</v>
      </c>
      <c r="J14" s="77">
        <v>31</v>
      </c>
      <c r="K14" s="362">
        <v>0.81880980448142537</v>
      </c>
    </row>
    <row r="15" spans="1:11" x14ac:dyDescent="0.3">
      <c r="A15" s="374" t="s">
        <v>9</v>
      </c>
      <c r="B15" s="77">
        <v>3</v>
      </c>
      <c r="C15" s="77">
        <v>3</v>
      </c>
      <c r="D15" s="77">
        <v>238</v>
      </c>
      <c r="E15" s="361">
        <v>7.5723927106493294</v>
      </c>
      <c r="F15" s="77">
        <v>5</v>
      </c>
      <c r="G15" s="77">
        <v>172</v>
      </c>
      <c r="H15" s="361">
        <v>5.4724854883684229</v>
      </c>
      <c r="I15" s="77">
        <v>3</v>
      </c>
      <c r="J15" s="77">
        <v>120</v>
      </c>
      <c r="K15" s="362">
        <v>3.8180131314198302</v>
      </c>
    </row>
    <row r="16" spans="1:11" x14ac:dyDescent="0.3">
      <c r="A16" s="374" t="s">
        <v>10</v>
      </c>
      <c r="B16" s="77">
        <v>2</v>
      </c>
      <c r="C16" s="77">
        <v>2</v>
      </c>
      <c r="D16" s="77">
        <v>18</v>
      </c>
      <c r="E16" s="361">
        <v>2.4602532420670502</v>
      </c>
      <c r="F16" s="77">
        <v>2</v>
      </c>
      <c r="G16" s="77">
        <v>64</v>
      </c>
      <c r="H16" s="361">
        <v>8.7475670829050678</v>
      </c>
      <c r="I16" s="77">
        <v>2</v>
      </c>
      <c r="J16" s="77">
        <v>22</v>
      </c>
      <c r="K16" s="362">
        <v>3.0069761847486167</v>
      </c>
    </row>
    <row r="17" spans="1:11" x14ac:dyDescent="0.3">
      <c r="A17" s="374" t="s">
        <v>11</v>
      </c>
      <c r="B17" s="77">
        <v>5</v>
      </c>
      <c r="C17" s="77">
        <v>5</v>
      </c>
      <c r="D17" s="77">
        <v>24</v>
      </c>
      <c r="E17" s="361">
        <v>1.8918209486063191</v>
      </c>
      <c r="F17" s="77">
        <v>5</v>
      </c>
      <c r="G17" s="77">
        <v>19</v>
      </c>
      <c r="H17" s="361">
        <v>1.497691584313336</v>
      </c>
      <c r="I17" s="77">
        <v>5</v>
      </c>
      <c r="J17" s="77">
        <v>13</v>
      </c>
      <c r="K17" s="362">
        <v>1.0247363471617561</v>
      </c>
    </row>
    <row r="18" spans="1:11" x14ac:dyDescent="0.3">
      <c r="A18" s="374" t="s">
        <v>12</v>
      </c>
      <c r="B18" s="77">
        <v>10</v>
      </c>
      <c r="C18" s="77">
        <v>10</v>
      </c>
      <c r="D18" s="77">
        <v>82</v>
      </c>
      <c r="E18" s="361">
        <v>1.6922701639149391</v>
      </c>
      <c r="F18" s="77">
        <v>10</v>
      </c>
      <c r="G18" s="77">
        <v>124</v>
      </c>
      <c r="H18" s="361">
        <v>2.5590426868957614</v>
      </c>
      <c r="I18" s="77">
        <v>10</v>
      </c>
      <c r="J18" s="77">
        <v>62</v>
      </c>
      <c r="K18" s="362">
        <v>1.2795213434478807</v>
      </c>
    </row>
    <row r="19" spans="1:11" x14ac:dyDescent="0.3">
      <c r="A19" s="374" t="s">
        <v>13</v>
      </c>
      <c r="B19" s="77"/>
      <c r="C19" s="77"/>
      <c r="D19" s="77"/>
      <c r="E19" s="361">
        <v>0</v>
      </c>
      <c r="F19" s="77"/>
      <c r="G19" s="77"/>
      <c r="H19" s="361">
        <v>0</v>
      </c>
      <c r="I19" s="77"/>
      <c r="J19" s="77"/>
      <c r="K19" s="362">
        <v>0</v>
      </c>
    </row>
    <row r="20" spans="1:11" x14ac:dyDescent="0.3">
      <c r="A20" s="374" t="s">
        <v>14</v>
      </c>
      <c r="B20" s="77">
        <v>1</v>
      </c>
      <c r="C20" s="77">
        <v>1</v>
      </c>
      <c r="D20" s="77">
        <v>3</v>
      </c>
      <c r="E20" s="361">
        <v>1.1950382013878376</v>
      </c>
      <c r="F20" s="77">
        <v>1</v>
      </c>
      <c r="G20" s="77">
        <v>2</v>
      </c>
      <c r="H20" s="361">
        <v>0.79669213425855845</v>
      </c>
      <c r="I20" s="77">
        <v>1</v>
      </c>
      <c r="J20" s="77">
        <v>1</v>
      </c>
      <c r="K20" s="362">
        <v>0.39834606712927922</v>
      </c>
    </row>
    <row r="21" spans="1:11" x14ac:dyDescent="0.3">
      <c r="A21" s="374" t="s">
        <v>15</v>
      </c>
      <c r="B21" s="77">
        <v>7</v>
      </c>
      <c r="C21" s="77">
        <v>7</v>
      </c>
      <c r="D21" s="77">
        <v>67</v>
      </c>
      <c r="E21" s="361">
        <v>1.4402986534497411</v>
      </c>
      <c r="F21" s="77">
        <v>7</v>
      </c>
      <c r="G21" s="77">
        <v>36</v>
      </c>
      <c r="H21" s="361">
        <v>0.7738918137938906</v>
      </c>
      <c r="I21" s="77">
        <v>6</v>
      </c>
      <c r="J21" s="77">
        <v>47</v>
      </c>
      <c r="K21" s="362">
        <v>1.0103587568975796</v>
      </c>
    </row>
    <row r="22" spans="1:11" x14ac:dyDescent="0.3">
      <c r="A22" s="374" t="s">
        <v>16</v>
      </c>
      <c r="B22" s="77">
        <v>6</v>
      </c>
      <c r="C22" s="77">
        <v>6</v>
      </c>
      <c r="D22" s="77">
        <v>48</v>
      </c>
      <c r="E22" s="361">
        <v>1.4523036258575399</v>
      </c>
      <c r="F22" s="77">
        <v>6</v>
      </c>
      <c r="G22" s="77">
        <v>215</v>
      </c>
      <c r="H22" s="361">
        <v>6.5051099908202312</v>
      </c>
      <c r="I22" s="77">
        <v>6</v>
      </c>
      <c r="J22" s="77">
        <v>52</v>
      </c>
      <c r="K22" s="362">
        <v>1.5733289280123348</v>
      </c>
    </row>
    <row r="23" spans="1:11" x14ac:dyDescent="0.3">
      <c r="A23" s="374" t="s">
        <v>17</v>
      </c>
      <c r="B23" s="77">
        <v>2</v>
      </c>
      <c r="C23" s="77">
        <v>2</v>
      </c>
      <c r="D23" s="77">
        <v>14</v>
      </c>
      <c r="E23" s="361">
        <v>3.0474399327821819</v>
      </c>
      <c r="F23" s="77">
        <v>2</v>
      </c>
      <c r="G23" s="77">
        <v>25</v>
      </c>
      <c r="H23" s="361">
        <v>5.4418570228253254</v>
      </c>
      <c r="I23" s="77">
        <v>2</v>
      </c>
      <c r="J23" s="77">
        <v>3</v>
      </c>
      <c r="K23" s="362">
        <v>0.65302284273903899</v>
      </c>
    </row>
    <row r="24" spans="1:11" x14ac:dyDescent="0.3">
      <c r="A24" s="374" t="s">
        <v>18</v>
      </c>
      <c r="B24" s="77">
        <v>5</v>
      </c>
      <c r="C24" s="77">
        <v>5</v>
      </c>
      <c r="D24" s="77">
        <v>51</v>
      </c>
      <c r="E24" s="361">
        <v>3.2879616120811312</v>
      </c>
      <c r="F24" s="77">
        <v>1</v>
      </c>
      <c r="G24" s="77">
        <v>7</v>
      </c>
      <c r="H24" s="361">
        <v>0.45128884871701808</v>
      </c>
      <c r="I24" s="77">
        <v>1</v>
      </c>
      <c r="J24" s="77">
        <v>1</v>
      </c>
      <c r="K24" s="362">
        <v>6.4469835531002578E-2</v>
      </c>
    </row>
    <row r="25" spans="1:11" x14ac:dyDescent="0.3">
      <c r="A25" s="374" t="s">
        <v>19</v>
      </c>
      <c r="B25" s="77">
        <v>9</v>
      </c>
      <c r="C25" s="77">
        <v>8</v>
      </c>
      <c r="D25" s="77">
        <v>115</v>
      </c>
      <c r="E25" s="361">
        <v>2.8601131112559131</v>
      </c>
      <c r="F25" s="77">
        <v>9</v>
      </c>
      <c r="G25" s="77">
        <v>75</v>
      </c>
      <c r="H25" s="361">
        <v>1.8652911595147259</v>
      </c>
      <c r="I25" s="77">
        <v>7</v>
      </c>
      <c r="J25" s="77">
        <v>38</v>
      </c>
      <c r="K25" s="362">
        <v>0.94508085415412779</v>
      </c>
    </row>
    <row r="26" spans="1:11" x14ac:dyDescent="0.3">
      <c r="A26" s="374" t="s">
        <v>20</v>
      </c>
      <c r="B26" s="77">
        <v>8</v>
      </c>
      <c r="C26" s="77">
        <v>8</v>
      </c>
      <c r="D26" s="77">
        <v>32</v>
      </c>
      <c r="E26" s="361">
        <v>2.3328529114368841</v>
      </c>
      <c r="F26" s="77">
        <v>0</v>
      </c>
      <c r="G26" s="77">
        <v>0</v>
      </c>
      <c r="H26" s="363">
        <v>0</v>
      </c>
      <c r="I26" s="77">
        <v>0</v>
      </c>
      <c r="J26" s="77">
        <v>0</v>
      </c>
      <c r="K26" s="362">
        <v>0</v>
      </c>
    </row>
    <row r="27" spans="1:11" ht="14.5" thickBot="1" x14ac:dyDescent="0.35">
      <c r="A27" s="375" t="s">
        <v>1</v>
      </c>
      <c r="B27" s="364">
        <v>135</v>
      </c>
      <c r="C27" s="364">
        <v>127</v>
      </c>
      <c r="D27" s="364">
        <v>1236</v>
      </c>
      <c r="E27" s="365">
        <v>2.4699868619080703</v>
      </c>
      <c r="F27" s="364">
        <v>128</v>
      </c>
      <c r="G27" s="364">
        <v>1962</v>
      </c>
      <c r="H27" s="365">
        <v>3.9208043875919372</v>
      </c>
      <c r="I27" s="364">
        <v>120</v>
      </c>
      <c r="J27" s="364">
        <v>800</v>
      </c>
      <c r="K27" s="366">
        <v>1.5986969979987511</v>
      </c>
    </row>
    <row r="30" spans="1:11" ht="30.75" customHeight="1" x14ac:dyDescent="0.3">
      <c r="A30" s="478" t="s">
        <v>219</v>
      </c>
      <c r="B30" s="479"/>
      <c r="C30" s="479"/>
      <c r="D30" s="479"/>
      <c r="E30" s="479"/>
      <c r="F30" s="479"/>
      <c r="G30" s="479"/>
      <c r="H30" s="479"/>
      <c r="I30" s="479"/>
      <c r="J30" s="479"/>
      <c r="K30" s="479"/>
    </row>
    <row r="31" spans="1:11" ht="14.5" thickBot="1" x14ac:dyDescent="0.35"/>
    <row r="32" spans="1:11" ht="14.25" customHeight="1" x14ac:dyDescent="0.3">
      <c r="A32" s="507" t="s">
        <v>76</v>
      </c>
      <c r="B32" s="509" t="s">
        <v>79</v>
      </c>
      <c r="C32" s="509" t="s">
        <v>80</v>
      </c>
      <c r="D32" s="509"/>
      <c r="E32" s="509"/>
      <c r="F32" s="509" t="s">
        <v>81</v>
      </c>
      <c r="G32" s="509"/>
      <c r="H32" s="509"/>
      <c r="I32" s="509" t="s">
        <v>82</v>
      </c>
      <c r="J32" s="509"/>
      <c r="K32" s="511"/>
    </row>
    <row r="33" spans="1:11" x14ac:dyDescent="0.3">
      <c r="A33" s="508"/>
      <c r="B33" s="510"/>
      <c r="C33" s="512" t="s">
        <v>83</v>
      </c>
      <c r="D33" s="512" t="s">
        <v>84</v>
      </c>
      <c r="E33" s="512"/>
      <c r="F33" s="512" t="s">
        <v>83</v>
      </c>
      <c r="G33" s="512" t="s">
        <v>84</v>
      </c>
      <c r="H33" s="512"/>
      <c r="I33" s="512" t="s">
        <v>83</v>
      </c>
      <c r="J33" s="512" t="s">
        <v>84</v>
      </c>
      <c r="K33" s="513"/>
    </row>
    <row r="34" spans="1:11" ht="28.5" customHeight="1" x14ac:dyDescent="0.3">
      <c r="A34" s="508"/>
      <c r="B34" s="510"/>
      <c r="C34" s="512"/>
      <c r="D34" s="370" t="s">
        <v>49</v>
      </c>
      <c r="E34" s="370" t="s">
        <v>85</v>
      </c>
      <c r="F34" s="512"/>
      <c r="G34" s="370" t="s">
        <v>49</v>
      </c>
      <c r="H34" s="370" t="s">
        <v>85</v>
      </c>
      <c r="I34" s="512"/>
      <c r="J34" s="370" t="s">
        <v>49</v>
      </c>
      <c r="K34" s="371" t="s">
        <v>85</v>
      </c>
    </row>
    <row r="35" spans="1:11" x14ac:dyDescent="0.3">
      <c r="A35" s="376" t="s">
        <v>3</v>
      </c>
      <c r="B35" s="77">
        <v>12</v>
      </c>
      <c r="C35" s="77">
        <v>12</v>
      </c>
      <c r="D35" s="77">
        <v>75</v>
      </c>
      <c r="E35" s="361">
        <v>2.0570245605989834</v>
      </c>
      <c r="F35" s="77">
        <v>12</v>
      </c>
      <c r="G35" s="77">
        <v>274</v>
      </c>
      <c r="H35" s="361">
        <v>7.5149963947216207</v>
      </c>
      <c r="I35" s="77">
        <v>12</v>
      </c>
      <c r="J35" s="77">
        <v>41</v>
      </c>
      <c r="K35" s="362">
        <v>1.124506759794111</v>
      </c>
    </row>
    <row r="36" spans="1:11" x14ac:dyDescent="0.3">
      <c r="A36" s="376" t="s">
        <v>4</v>
      </c>
      <c r="B36" s="77">
        <v>1</v>
      </c>
      <c r="C36" s="77">
        <v>1</v>
      </c>
      <c r="D36" s="77">
        <v>3</v>
      </c>
      <c r="E36" s="361">
        <v>2.8664520012612389</v>
      </c>
      <c r="F36" s="77">
        <v>1</v>
      </c>
      <c r="G36" s="77">
        <v>8</v>
      </c>
      <c r="H36" s="361">
        <v>7.6438720033633034</v>
      </c>
      <c r="I36" s="77">
        <v>1</v>
      </c>
      <c r="J36" s="77">
        <v>3</v>
      </c>
      <c r="K36" s="362">
        <v>2.8664520012612389</v>
      </c>
    </row>
    <row r="37" spans="1:11" x14ac:dyDescent="0.3">
      <c r="A37" s="376" t="s">
        <v>5</v>
      </c>
      <c r="B37" s="77">
        <v>35</v>
      </c>
      <c r="C37" s="77">
        <v>27</v>
      </c>
      <c r="D37" s="77">
        <v>143</v>
      </c>
      <c r="E37" s="361">
        <v>1.6906010855314102</v>
      </c>
      <c r="F37" s="77">
        <v>36</v>
      </c>
      <c r="G37" s="77">
        <v>272</v>
      </c>
      <c r="H37" s="361">
        <v>3.2156887780737313</v>
      </c>
      <c r="I37" s="77">
        <v>36</v>
      </c>
      <c r="J37" s="77">
        <v>145</v>
      </c>
      <c r="K37" s="362">
        <v>1.714245855958423</v>
      </c>
    </row>
    <row r="38" spans="1:11" x14ac:dyDescent="0.3">
      <c r="A38" s="376" t="s">
        <v>97</v>
      </c>
      <c r="B38" s="77">
        <v>1</v>
      </c>
      <c r="C38" s="77">
        <v>1</v>
      </c>
      <c r="D38" s="77">
        <v>11</v>
      </c>
      <c r="E38" s="361">
        <v>2.5077397969186714</v>
      </c>
      <c r="F38" s="77">
        <v>1</v>
      </c>
      <c r="G38" s="77">
        <v>9</v>
      </c>
      <c r="H38" s="361">
        <v>2.0517871065698223</v>
      </c>
      <c r="I38" s="77">
        <v>1</v>
      </c>
      <c r="J38" s="77">
        <v>3</v>
      </c>
      <c r="K38" s="362">
        <v>0.68392903552327411</v>
      </c>
    </row>
    <row r="39" spans="1:11" x14ac:dyDescent="0.3">
      <c r="A39" s="376" t="s">
        <v>86</v>
      </c>
      <c r="B39" s="77">
        <v>1</v>
      </c>
      <c r="C39" s="77">
        <v>1</v>
      </c>
      <c r="D39" s="77">
        <v>10</v>
      </c>
      <c r="E39" s="361">
        <v>2.1903070153343394</v>
      </c>
      <c r="F39" s="77">
        <v>1</v>
      </c>
      <c r="G39" s="77">
        <v>12</v>
      </c>
      <c r="H39" s="361">
        <v>2.6283684184012075</v>
      </c>
      <c r="I39" s="77">
        <v>1</v>
      </c>
      <c r="J39" s="77">
        <v>7</v>
      </c>
      <c r="K39" s="362">
        <v>1.5332149107340374</v>
      </c>
    </row>
    <row r="40" spans="1:11" x14ac:dyDescent="0.3">
      <c r="A40" s="376" t="s">
        <v>6</v>
      </c>
      <c r="B40" s="77">
        <v>9</v>
      </c>
      <c r="C40" s="77">
        <v>10</v>
      </c>
      <c r="D40" s="77">
        <v>160</v>
      </c>
      <c r="E40" s="361">
        <v>3.8798488410891512</v>
      </c>
      <c r="F40" s="77">
        <v>11</v>
      </c>
      <c r="G40" s="77">
        <v>233</v>
      </c>
      <c r="H40" s="361">
        <v>5.6500298748360764</v>
      </c>
      <c r="I40" s="77">
        <v>9</v>
      </c>
      <c r="J40" s="77">
        <v>170</v>
      </c>
      <c r="K40" s="362">
        <v>4.1223393936572235</v>
      </c>
    </row>
    <row r="41" spans="1:11" x14ac:dyDescent="0.3">
      <c r="A41" s="376" t="s">
        <v>22</v>
      </c>
      <c r="B41" s="77">
        <v>3</v>
      </c>
      <c r="C41" s="77">
        <v>3</v>
      </c>
      <c r="D41" s="77">
        <v>20</v>
      </c>
      <c r="E41" s="361">
        <v>1.9436648188893122</v>
      </c>
      <c r="F41" s="77">
        <v>3</v>
      </c>
      <c r="G41" s="77">
        <v>27</v>
      </c>
      <c r="H41" s="361">
        <v>2.6239475055005714</v>
      </c>
      <c r="I41" s="77">
        <v>3</v>
      </c>
      <c r="J41" s="77">
        <v>24</v>
      </c>
      <c r="K41" s="362">
        <v>2.3323977826671745</v>
      </c>
    </row>
    <row r="42" spans="1:11" x14ac:dyDescent="0.3">
      <c r="A42" s="376" t="s">
        <v>7</v>
      </c>
      <c r="B42" s="77">
        <v>5</v>
      </c>
      <c r="C42" s="77">
        <v>5</v>
      </c>
      <c r="D42" s="77">
        <v>24</v>
      </c>
      <c r="E42" s="361">
        <v>1.8302308378644256</v>
      </c>
      <c r="F42" s="77">
        <v>5</v>
      </c>
      <c r="G42" s="77">
        <v>57</v>
      </c>
      <c r="H42" s="361">
        <v>4.3467982399280114</v>
      </c>
      <c r="I42" s="77">
        <v>5</v>
      </c>
      <c r="J42" s="77">
        <v>12</v>
      </c>
      <c r="K42" s="362">
        <v>0.91511541893221282</v>
      </c>
    </row>
    <row r="43" spans="1:11" x14ac:dyDescent="0.3">
      <c r="A43" s="376" t="s">
        <v>8</v>
      </c>
      <c r="B43" s="77">
        <v>10</v>
      </c>
      <c r="C43" s="77">
        <v>10</v>
      </c>
      <c r="D43" s="77">
        <v>66</v>
      </c>
      <c r="E43" s="361">
        <v>1.7432724869604539</v>
      </c>
      <c r="F43" s="77">
        <v>10</v>
      </c>
      <c r="G43" s="77">
        <v>193</v>
      </c>
      <c r="H43" s="361">
        <v>5.0977513633843579</v>
      </c>
      <c r="I43" s="77">
        <v>9</v>
      </c>
      <c r="J43" s="77">
        <v>31</v>
      </c>
      <c r="K43" s="362">
        <v>0.81880980448142537</v>
      </c>
    </row>
    <row r="44" spans="1:11" x14ac:dyDescent="0.3">
      <c r="A44" s="376" t="s">
        <v>9</v>
      </c>
      <c r="B44" s="77">
        <v>3</v>
      </c>
      <c r="C44" s="77">
        <v>3</v>
      </c>
      <c r="D44" s="77">
        <v>132</v>
      </c>
      <c r="E44" s="361">
        <v>4.1998144445618131</v>
      </c>
      <c r="F44" s="77">
        <v>5</v>
      </c>
      <c r="G44" s="77">
        <v>117</v>
      </c>
      <c r="H44" s="361">
        <v>3.7225628031343345</v>
      </c>
      <c r="I44" s="77">
        <v>3</v>
      </c>
      <c r="J44" s="77">
        <v>87</v>
      </c>
      <c r="K44" s="362">
        <v>2.768059520279377</v>
      </c>
    </row>
    <row r="45" spans="1:11" x14ac:dyDescent="0.3">
      <c r="A45" s="376" t="s">
        <v>10</v>
      </c>
      <c r="B45" s="77">
        <v>2</v>
      </c>
      <c r="C45" s="77">
        <v>2</v>
      </c>
      <c r="D45" s="77">
        <v>18</v>
      </c>
      <c r="E45" s="361">
        <v>2.4602532420670502</v>
      </c>
      <c r="F45" s="77">
        <v>2</v>
      </c>
      <c r="G45" s="77">
        <v>64</v>
      </c>
      <c r="H45" s="361">
        <v>8.7475670829050678</v>
      </c>
      <c r="I45" s="77">
        <v>2</v>
      </c>
      <c r="J45" s="77">
        <v>21</v>
      </c>
      <c r="K45" s="362">
        <v>2.8702954490782249</v>
      </c>
    </row>
    <row r="46" spans="1:11" x14ac:dyDescent="0.3">
      <c r="A46" s="376" t="s">
        <v>11</v>
      </c>
      <c r="B46" s="77">
        <v>5</v>
      </c>
      <c r="C46" s="77">
        <v>5</v>
      </c>
      <c r="D46" s="77">
        <v>20</v>
      </c>
      <c r="E46" s="361">
        <v>1.5765174571719327</v>
      </c>
      <c r="F46" s="77">
        <v>5</v>
      </c>
      <c r="G46" s="77">
        <v>17</v>
      </c>
      <c r="H46" s="361">
        <v>1.3400398385961427</v>
      </c>
      <c r="I46" s="77">
        <v>5</v>
      </c>
      <c r="J46" s="77">
        <v>11</v>
      </c>
      <c r="K46" s="362">
        <v>0.8670846014445629</v>
      </c>
    </row>
    <row r="47" spans="1:11" x14ac:dyDescent="0.3">
      <c r="A47" s="376" t="s">
        <v>12</v>
      </c>
      <c r="B47" s="77">
        <v>10</v>
      </c>
      <c r="C47" s="77">
        <v>10</v>
      </c>
      <c r="D47" s="77">
        <v>81</v>
      </c>
      <c r="E47" s="361">
        <v>1.6716327228915859</v>
      </c>
      <c r="F47" s="77">
        <v>10</v>
      </c>
      <c r="G47" s="77">
        <v>123</v>
      </c>
      <c r="H47" s="361">
        <v>2.5384052458724087</v>
      </c>
      <c r="I47" s="77">
        <v>10</v>
      </c>
      <c r="J47" s="77">
        <v>62</v>
      </c>
      <c r="K47" s="362">
        <v>1.2795213434478807</v>
      </c>
    </row>
    <row r="48" spans="1:11" x14ac:dyDescent="0.3">
      <c r="A48" s="376" t="s">
        <v>13</v>
      </c>
      <c r="B48" s="77"/>
      <c r="C48" s="77"/>
      <c r="D48" s="77"/>
      <c r="E48" s="361">
        <v>0</v>
      </c>
      <c r="F48" s="77"/>
      <c r="G48" s="77"/>
      <c r="H48" s="361">
        <v>0</v>
      </c>
      <c r="I48" s="77"/>
      <c r="J48" s="77"/>
      <c r="K48" s="362">
        <v>0</v>
      </c>
    </row>
    <row r="49" spans="1:11" x14ac:dyDescent="0.3">
      <c r="A49" s="376" t="s">
        <v>14</v>
      </c>
      <c r="B49" s="77">
        <v>1</v>
      </c>
      <c r="C49" s="77">
        <v>1</v>
      </c>
      <c r="D49" s="77">
        <v>3</v>
      </c>
      <c r="E49" s="361">
        <v>1.1950382013878376</v>
      </c>
      <c r="F49" s="77">
        <v>1</v>
      </c>
      <c r="G49" s="77">
        <v>2</v>
      </c>
      <c r="H49" s="361">
        <v>0.79669213425855845</v>
      </c>
      <c r="I49" s="77">
        <v>1</v>
      </c>
      <c r="J49" s="77">
        <v>1</v>
      </c>
      <c r="K49" s="362">
        <v>0.39834606712927922</v>
      </c>
    </row>
    <row r="50" spans="1:11" x14ac:dyDescent="0.3">
      <c r="A50" s="376" t="s">
        <v>15</v>
      </c>
      <c r="B50" s="77">
        <v>7</v>
      </c>
      <c r="C50" s="77">
        <v>7</v>
      </c>
      <c r="D50" s="77">
        <v>65</v>
      </c>
      <c r="E50" s="361">
        <v>1.3973046637945248</v>
      </c>
      <c r="F50" s="77">
        <v>7</v>
      </c>
      <c r="G50" s="77">
        <v>28</v>
      </c>
      <c r="H50" s="361">
        <v>0.60191585517302615</v>
      </c>
      <c r="I50" s="77">
        <v>6</v>
      </c>
      <c r="J50" s="77">
        <v>46</v>
      </c>
      <c r="K50" s="362">
        <v>0.98886176206997145</v>
      </c>
    </row>
    <row r="51" spans="1:11" x14ac:dyDescent="0.3">
      <c r="A51" s="376" t="s">
        <v>16</v>
      </c>
      <c r="B51" s="77">
        <v>6</v>
      </c>
      <c r="C51" s="77">
        <v>6</v>
      </c>
      <c r="D51" s="77">
        <v>48</v>
      </c>
      <c r="E51" s="361">
        <v>1.4523036258575399</v>
      </c>
      <c r="F51" s="77">
        <v>6</v>
      </c>
      <c r="G51" s="77">
        <v>212</v>
      </c>
      <c r="H51" s="361">
        <v>6.4143410142041342</v>
      </c>
      <c r="I51" s="77">
        <v>6</v>
      </c>
      <c r="J51" s="77">
        <v>52</v>
      </c>
      <c r="K51" s="362">
        <v>1.5733289280123348</v>
      </c>
    </row>
    <row r="52" spans="1:11" x14ac:dyDescent="0.3">
      <c r="A52" s="376" t="s">
        <v>17</v>
      </c>
      <c r="B52" s="77">
        <v>2</v>
      </c>
      <c r="C52" s="77">
        <v>2</v>
      </c>
      <c r="D52" s="77">
        <v>14</v>
      </c>
      <c r="E52" s="361">
        <v>3.0474399327821819</v>
      </c>
      <c r="F52" s="77">
        <v>2</v>
      </c>
      <c r="G52" s="77">
        <v>25</v>
      </c>
      <c r="H52" s="361">
        <v>5.4418570228253254</v>
      </c>
      <c r="I52" s="77">
        <v>2</v>
      </c>
      <c r="J52" s="77">
        <v>3</v>
      </c>
      <c r="K52" s="362">
        <v>0.65302284273903899</v>
      </c>
    </row>
    <row r="53" spans="1:11" x14ac:dyDescent="0.3">
      <c r="A53" s="376" t="s">
        <v>18</v>
      </c>
      <c r="B53" s="77">
        <v>5</v>
      </c>
      <c r="C53" s="77">
        <v>5</v>
      </c>
      <c r="D53" s="77">
        <v>51</v>
      </c>
      <c r="E53" s="361">
        <v>3.2879616120811312</v>
      </c>
      <c r="F53" s="77">
        <v>1</v>
      </c>
      <c r="G53" s="77">
        <v>7</v>
      </c>
      <c r="H53" s="361">
        <v>0.45128884871701808</v>
      </c>
      <c r="I53" s="77">
        <v>1</v>
      </c>
      <c r="J53" s="77">
        <v>1</v>
      </c>
      <c r="K53" s="362">
        <v>6.4469835531002578E-2</v>
      </c>
    </row>
    <row r="54" spans="1:11" x14ac:dyDescent="0.3">
      <c r="A54" s="376" t="s">
        <v>19</v>
      </c>
      <c r="B54" s="77">
        <v>9</v>
      </c>
      <c r="C54" s="77">
        <v>8</v>
      </c>
      <c r="D54" s="77">
        <v>113</v>
      </c>
      <c r="E54" s="361">
        <v>2.8103720136688537</v>
      </c>
      <c r="F54" s="77">
        <v>9</v>
      </c>
      <c r="G54" s="77">
        <v>73</v>
      </c>
      <c r="H54" s="361">
        <v>1.8155500619276665</v>
      </c>
      <c r="I54" s="77">
        <v>7</v>
      </c>
      <c r="J54" s="77">
        <v>38</v>
      </c>
      <c r="K54" s="362">
        <v>0.94508085415412779</v>
      </c>
    </row>
    <row r="55" spans="1:11" x14ac:dyDescent="0.3">
      <c r="A55" s="376" t="s">
        <v>20</v>
      </c>
      <c r="B55" s="77">
        <v>8</v>
      </c>
      <c r="C55" s="77">
        <v>8</v>
      </c>
      <c r="D55" s="77">
        <v>26</v>
      </c>
      <c r="E55" s="361">
        <v>1.8954429905424683</v>
      </c>
      <c r="F55" s="77">
        <v>0</v>
      </c>
      <c r="G55" s="77">
        <v>0</v>
      </c>
      <c r="H55" s="363">
        <v>0</v>
      </c>
      <c r="I55" s="77">
        <v>0</v>
      </c>
      <c r="J55" s="77">
        <v>0</v>
      </c>
      <c r="K55" s="362">
        <v>0</v>
      </c>
    </row>
    <row r="56" spans="1:11" ht="14.5" thickBot="1" x14ac:dyDescent="0.35">
      <c r="A56" s="377" t="s">
        <v>1</v>
      </c>
      <c r="B56" s="364">
        <v>135</v>
      </c>
      <c r="C56" s="364">
        <v>127</v>
      </c>
      <c r="D56" s="364">
        <v>1083</v>
      </c>
      <c r="E56" s="365">
        <v>2.1642360610408091</v>
      </c>
      <c r="F56" s="364">
        <v>128</v>
      </c>
      <c r="G56" s="364">
        <v>1753</v>
      </c>
      <c r="H56" s="365">
        <v>3.5031447968647633</v>
      </c>
      <c r="I56" s="364">
        <v>120</v>
      </c>
      <c r="J56" s="364">
        <v>758</v>
      </c>
      <c r="K56" s="366">
        <v>1.5147654056038167</v>
      </c>
    </row>
    <row r="61" spans="1:11" ht="30.75" customHeight="1" x14ac:dyDescent="0.3">
      <c r="A61" s="478" t="s">
        <v>220</v>
      </c>
      <c r="B61" s="479"/>
      <c r="C61" s="479"/>
      <c r="D61" s="479"/>
      <c r="E61" s="479"/>
      <c r="F61" s="479"/>
      <c r="G61" s="479"/>
      <c r="H61" s="479"/>
      <c r="I61" s="479"/>
      <c r="J61" s="479"/>
      <c r="K61" s="479"/>
    </row>
    <row r="62" spans="1:11" ht="14.5" thickBot="1" x14ac:dyDescent="0.35"/>
    <row r="63" spans="1:11" ht="14.25" customHeight="1" x14ac:dyDescent="0.3">
      <c r="A63" s="482" t="s">
        <v>76</v>
      </c>
      <c r="B63" s="485" t="s">
        <v>81</v>
      </c>
      <c r="C63" s="486"/>
      <c r="D63" s="487"/>
      <c r="E63" s="485" t="s">
        <v>82</v>
      </c>
      <c r="F63" s="486"/>
      <c r="G63" s="488"/>
    </row>
    <row r="64" spans="1:11" x14ac:dyDescent="0.3">
      <c r="A64" s="483"/>
      <c r="B64" s="489" t="s">
        <v>84</v>
      </c>
      <c r="C64" s="491" t="s">
        <v>164</v>
      </c>
      <c r="D64" s="492"/>
      <c r="E64" s="489" t="s">
        <v>84</v>
      </c>
      <c r="F64" s="491" t="s">
        <v>164</v>
      </c>
      <c r="G64" s="493"/>
    </row>
    <row r="65" spans="1:8" ht="23.25" customHeight="1" x14ac:dyDescent="0.3">
      <c r="A65" s="484"/>
      <c r="B65" s="490"/>
      <c r="C65" s="368" t="s">
        <v>49</v>
      </c>
      <c r="D65" s="368" t="s">
        <v>165</v>
      </c>
      <c r="E65" s="490"/>
      <c r="F65" s="368" t="s">
        <v>49</v>
      </c>
      <c r="G65" s="369" t="s">
        <v>165</v>
      </c>
    </row>
    <row r="66" spans="1:8" x14ac:dyDescent="0.3">
      <c r="A66" s="78" t="s">
        <v>3</v>
      </c>
      <c r="B66" s="40">
        <v>290</v>
      </c>
      <c r="C66" s="31">
        <v>2847</v>
      </c>
      <c r="D66" s="116">
        <v>7.8084652320337415</v>
      </c>
      <c r="E66" s="40">
        <v>40</v>
      </c>
      <c r="F66" s="31">
        <v>968</v>
      </c>
      <c r="G66" s="117">
        <v>2.6549330328797547</v>
      </c>
      <c r="H66" s="124"/>
    </row>
    <row r="67" spans="1:8" x14ac:dyDescent="0.3">
      <c r="A67" s="78" t="s">
        <v>4</v>
      </c>
      <c r="B67" s="40">
        <v>8</v>
      </c>
      <c r="C67" s="31">
        <v>104</v>
      </c>
      <c r="D67" s="116">
        <v>9.937033604372294</v>
      </c>
      <c r="E67" s="40">
        <v>3</v>
      </c>
      <c r="F67" s="31">
        <v>39</v>
      </c>
      <c r="G67" s="117">
        <v>3.7263876016396109</v>
      </c>
      <c r="H67" s="124"/>
    </row>
    <row r="68" spans="1:8" x14ac:dyDescent="0.3">
      <c r="A68" s="78" t="s">
        <v>5</v>
      </c>
      <c r="B68" s="40">
        <v>286</v>
      </c>
      <c r="C68" s="31">
        <v>4405</v>
      </c>
      <c r="D68" s="116">
        <v>5.2077606865495545</v>
      </c>
      <c r="E68" s="40">
        <v>129</v>
      </c>
      <c r="F68" s="31">
        <v>2052</v>
      </c>
      <c r="G68" s="117">
        <v>2.4259534458115062</v>
      </c>
      <c r="H68" s="124"/>
    </row>
    <row r="69" spans="1:8" x14ac:dyDescent="0.3">
      <c r="A69" s="78" t="s">
        <v>97</v>
      </c>
      <c r="B69" s="40">
        <v>10</v>
      </c>
      <c r="C69" s="31">
        <v>145</v>
      </c>
      <c r="D69" s="116">
        <v>3.305657005029158</v>
      </c>
      <c r="E69" s="40">
        <v>5</v>
      </c>
      <c r="F69" s="31">
        <v>70</v>
      </c>
      <c r="G69" s="117">
        <v>1.595834416220973</v>
      </c>
      <c r="H69" s="124"/>
    </row>
    <row r="70" spans="1:8" x14ac:dyDescent="0.3">
      <c r="A70" s="78" t="s">
        <v>86</v>
      </c>
      <c r="B70" s="40">
        <v>11</v>
      </c>
      <c r="C70" s="31">
        <v>151</v>
      </c>
      <c r="D70" s="116">
        <v>3.3073635931548524</v>
      </c>
      <c r="E70" s="40">
        <v>7</v>
      </c>
      <c r="F70" s="31">
        <v>118</v>
      </c>
      <c r="G70" s="117">
        <v>2.5845622780945203</v>
      </c>
      <c r="H70" s="124"/>
    </row>
    <row r="71" spans="1:8" x14ac:dyDescent="0.3">
      <c r="A71" s="78" t="s">
        <v>6</v>
      </c>
      <c r="B71" s="40">
        <v>193</v>
      </c>
      <c r="C71" s="31">
        <v>1791</v>
      </c>
      <c r="D71" s="116">
        <v>4.3430057964941691</v>
      </c>
      <c r="E71" s="40">
        <v>95</v>
      </c>
      <c r="F71" s="31">
        <v>1467</v>
      </c>
      <c r="G71" s="117">
        <v>3.5573364061736159</v>
      </c>
      <c r="H71" s="124"/>
    </row>
    <row r="72" spans="1:8" x14ac:dyDescent="0.3">
      <c r="A72" s="78" t="s">
        <v>22</v>
      </c>
      <c r="B72" s="40">
        <v>48</v>
      </c>
      <c r="C72" s="31">
        <v>332</v>
      </c>
      <c r="D72" s="116">
        <v>3.2264835993562584</v>
      </c>
      <c r="E72" s="40">
        <v>35</v>
      </c>
      <c r="F72" s="31">
        <v>563</v>
      </c>
      <c r="G72" s="117">
        <v>5.4714164651734141</v>
      </c>
      <c r="H72" s="124"/>
    </row>
    <row r="73" spans="1:8" x14ac:dyDescent="0.3">
      <c r="A73" s="78" t="s">
        <v>7</v>
      </c>
      <c r="B73" s="40">
        <v>93</v>
      </c>
      <c r="C73" s="31">
        <v>2068</v>
      </c>
      <c r="D73" s="116">
        <v>15.770489052931801</v>
      </c>
      <c r="E73" s="40">
        <v>17</v>
      </c>
      <c r="F73" s="31">
        <v>335</v>
      </c>
      <c r="G73" s="117">
        <v>2.5546972111857609</v>
      </c>
      <c r="H73" s="124"/>
    </row>
    <row r="74" spans="1:8" x14ac:dyDescent="0.3">
      <c r="A74" s="78" t="s">
        <v>8</v>
      </c>
      <c r="B74" s="40">
        <v>192</v>
      </c>
      <c r="C74" s="31">
        <v>2101</v>
      </c>
      <c r="D74" s="116">
        <v>5.5494174168241113</v>
      </c>
      <c r="E74" s="40">
        <v>34</v>
      </c>
      <c r="F74" s="31">
        <v>516</v>
      </c>
      <c r="G74" s="117">
        <v>1.362922126169082</v>
      </c>
      <c r="H74" s="124"/>
    </row>
    <row r="75" spans="1:8" x14ac:dyDescent="0.3">
      <c r="A75" s="78" t="s">
        <v>9</v>
      </c>
      <c r="B75" s="40">
        <v>106</v>
      </c>
      <c r="C75" s="31">
        <v>988</v>
      </c>
      <c r="D75" s="116">
        <v>3.1434974782023266</v>
      </c>
      <c r="E75" s="40">
        <v>57</v>
      </c>
      <c r="F75" s="31">
        <v>1173</v>
      </c>
      <c r="G75" s="117">
        <v>3.7321078359628839</v>
      </c>
      <c r="H75" s="124"/>
    </row>
    <row r="76" spans="1:8" x14ac:dyDescent="0.3">
      <c r="A76" s="78" t="s">
        <v>10</v>
      </c>
      <c r="B76" s="40">
        <v>66</v>
      </c>
      <c r="C76" s="31">
        <v>588</v>
      </c>
      <c r="D76" s="116">
        <v>8.0368272574190307</v>
      </c>
      <c r="E76" s="40">
        <v>23</v>
      </c>
      <c r="F76" s="31">
        <v>309</v>
      </c>
      <c r="G76" s="117">
        <v>4.2234347322151029</v>
      </c>
      <c r="H76" s="124"/>
    </row>
    <row r="77" spans="1:8" x14ac:dyDescent="0.3">
      <c r="A77" s="78" t="s">
        <v>11</v>
      </c>
      <c r="B77" s="40">
        <v>57</v>
      </c>
      <c r="C77" s="31">
        <v>1554</v>
      </c>
      <c r="D77" s="116">
        <v>12.249540642225918</v>
      </c>
      <c r="E77" s="40">
        <v>21</v>
      </c>
      <c r="F77" s="31">
        <v>304</v>
      </c>
      <c r="G77" s="117">
        <v>2.3963065349013375</v>
      </c>
      <c r="H77" s="124"/>
    </row>
    <row r="78" spans="1:8" x14ac:dyDescent="0.3">
      <c r="A78" s="78" t="s">
        <v>12</v>
      </c>
      <c r="B78" s="40">
        <v>121</v>
      </c>
      <c r="C78" s="31">
        <v>2422</v>
      </c>
      <c r="D78" s="116">
        <v>4.9983882158560764</v>
      </c>
      <c r="E78" s="40">
        <v>67</v>
      </c>
      <c r="F78" s="31">
        <v>2089</v>
      </c>
      <c r="G78" s="117">
        <v>4.3111614297784238</v>
      </c>
      <c r="H78" s="124"/>
    </row>
    <row r="79" spans="1:8" x14ac:dyDescent="0.3">
      <c r="A79" s="78" t="s">
        <v>13</v>
      </c>
      <c r="B79" s="40">
        <v>34</v>
      </c>
      <c r="C79" s="31">
        <v>502</v>
      </c>
      <c r="D79" s="116">
        <v>4.6208849270783858</v>
      </c>
      <c r="E79" s="40">
        <v>15</v>
      </c>
      <c r="F79" s="31">
        <v>331</v>
      </c>
      <c r="G79" s="117">
        <v>3.0468384678544735</v>
      </c>
      <c r="H79" s="124"/>
    </row>
    <row r="80" spans="1:8" x14ac:dyDescent="0.3">
      <c r="A80" s="78" t="s">
        <v>14</v>
      </c>
      <c r="B80" s="40">
        <v>14</v>
      </c>
      <c r="C80" s="31">
        <v>134</v>
      </c>
      <c r="D80" s="116">
        <v>5.3378372995323415</v>
      </c>
      <c r="E80" s="40">
        <v>16</v>
      </c>
      <c r="F80" s="31">
        <v>89</v>
      </c>
      <c r="G80" s="117">
        <v>3.5452799974505855</v>
      </c>
      <c r="H80" s="124"/>
    </row>
    <row r="81" spans="1:12" x14ac:dyDescent="0.3">
      <c r="A81" s="78" t="s">
        <v>15</v>
      </c>
      <c r="B81" s="40">
        <v>53</v>
      </c>
      <c r="C81" s="31">
        <v>998</v>
      </c>
      <c r="D81" s="116">
        <v>2.1454000837952858</v>
      </c>
      <c r="E81" s="40">
        <v>62</v>
      </c>
      <c r="F81" s="31">
        <v>885</v>
      </c>
      <c r="G81" s="117">
        <v>1.9024840422433145</v>
      </c>
      <c r="H81" s="124"/>
    </row>
    <row r="82" spans="1:12" x14ac:dyDescent="0.3">
      <c r="A82" s="78" t="s">
        <v>16</v>
      </c>
      <c r="B82" s="40">
        <v>174</v>
      </c>
      <c r="C82" s="31">
        <v>1771</v>
      </c>
      <c r="D82" s="116">
        <v>5.3583952529035477</v>
      </c>
      <c r="E82" s="40">
        <v>58</v>
      </c>
      <c r="F82" s="31">
        <v>1128</v>
      </c>
      <c r="G82" s="117">
        <v>3.4129135207652186</v>
      </c>
      <c r="H82" s="124"/>
    </row>
    <row r="83" spans="1:12" x14ac:dyDescent="0.3">
      <c r="A83" s="78" t="s">
        <v>17</v>
      </c>
      <c r="B83" s="40">
        <v>27</v>
      </c>
      <c r="C83" s="31">
        <v>285</v>
      </c>
      <c r="D83" s="116">
        <v>6.2037170060208711</v>
      </c>
      <c r="E83" s="40">
        <v>6</v>
      </c>
      <c r="F83" s="31">
        <v>60</v>
      </c>
      <c r="G83" s="117">
        <v>1.306045685478078</v>
      </c>
      <c r="H83" s="124"/>
    </row>
    <row r="84" spans="1:12" x14ac:dyDescent="0.3">
      <c r="A84" s="78" t="s">
        <v>18</v>
      </c>
      <c r="B84" s="40">
        <v>18</v>
      </c>
      <c r="C84" s="31">
        <v>361</v>
      </c>
      <c r="D84" s="116">
        <v>2.3273610626691932</v>
      </c>
      <c r="E84" s="40">
        <v>2</v>
      </c>
      <c r="F84" s="31">
        <v>27</v>
      </c>
      <c r="G84" s="117">
        <v>0.17406855593370693</v>
      </c>
      <c r="H84" s="124"/>
    </row>
    <row r="85" spans="1:12" x14ac:dyDescent="0.3">
      <c r="A85" s="78" t="s">
        <v>19</v>
      </c>
      <c r="B85" s="40">
        <v>82</v>
      </c>
      <c r="C85" s="31">
        <v>1738</v>
      </c>
      <c r="D85" s="116">
        <v>4.3225013803154582</v>
      </c>
      <c r="E85" s="40">
        <v>45</v>
      </c>
      <c r="F85" s="31">
        <v>712</v>
      </c>
      <c r="G85" s="117">
        <v>1.7707830740993131</v>
      </c>
      <c r="H85" s="124"/>
    </row>
    <row r="86" spans="1:12" x14ac:dyDescent="0.3">
      <c r="A86" s="78" t="s">
        <v>20</v>
      </c>
      <c r="B86" s="40">
        <v>36</v>
      </c>
      <c r="C86" s="31">
        <v>777</v>
      </c>
      <c r="D86" s="116">
        <v>5.6644584755826841</v>
      </c>
      <c r="E86" s="40">
        <v>12</v>
      </c>
      <c r="F86" s="31">
        <v>258</v>
      </c>
      <c r="G86" s="117">
        <v>1.8808626598459881</v>
      </c>
      <c r="H86" s="124"/>
    </row>
    <row r="87" spans="1:12" ht="14.5" thickBot="1" x14ac:dyDescent="0.35">
      <c r="A87" s="29" t="s">
        <v>1</v>
      </c>
      <c r="B87" s="32">
        <v>1919</v>
      </c>
      <c r="C87" s="32">
        <v>26062</v>
      </c>
      <c r="D87" s="125">
        <v>5.2081551452304309</v>
      </c>
      <c r="E87" s="41">
        <v>749</v>
      </c>
      <c r="F87" s="32">
        <v>13493</v>
      </c>
      <c r="G87" s="118">
        <v>2.6964023242496435</v>
      </c>
      <c r="H87" s="124"/>
    </row>
    <row r="91" spans="1:12" ht="31.5" customHeight="1" x14ac:dyDescent="0.3">
      <c r="A91" s="478" t="s">
        <v>221</v>
      </c>
      <c r="B91" s="479"/>
      <c r="C91" s="479"/>
      <c r="D91" s="479"/>
      <c r="E91" s="479"/>
      <c r="F91" s="479"/>
      <c r="G91" s="479"/>
      <c r="H91" s="479"/>
      <c r="I91" s="479"/>
      <c r="J91" s="479"/>
      <c r="K91" s="479"/>
    </row>
    <row r="92" spans="1:12" ht="14.5" thickBot="1" x14ac:dyDescent="0.35"/>
    <row r="93" spans="1:12" ht="14.25" customHeight="1" x14ac:dyDescent="0.3">
      <c r="A93" s="498" t="s">
        <v>76</v>
      </c>
      <c r="B93" s="500" t="s">
        <v>87</v>
      </c>
      <c r="C93" s="500"/>
      <c r="D93" s="500"/>
      <c r="E93" s="500" t="s">
        <v>176</v>
      </c>
      <c r="F93" s="500"/>
      <c r="G93" s="500"/>
      <c r="H93" s="494" t="s">
        <v>88</v>
      </c>
      <c r="I93" s="494" t="s">
        <v>89</v>
      </c>
      <c r="J93" s="494" t="s">
        <v>90</v>
      </c>
      <c r="K93" s="496" t="s">
        <v>91</v>
      </c>
      <c r="L93" s="480" t="s">
        <v>163</v>
      </c>
    </row>
    <row r="94" spans="1:12" ht="56.25" customHeight="1" x14ac:dyDescent="0.3">
      <c r="A94" s="499"/>
      <c r="B94" s="179" t="s">
        <v>92</v>
      </c>
      <c r="C94" s="179" t="s">
        <v>93</v>
      </c>
      <c r="D94" s="179" t="s">
        <v>94</v>
      </c>
      <c r="E94" s="179" t="s">
        <v>95</v>
      </c>
      <c r="F94" s="179" t="s">
        <v>93</v>
      </c>
      <c r="G94" s="179" t="s">
        <v>94</v>
      </c>
      <c r="H94" s="495"/>
      <c r="I94" s="495"/>
      <c r="J94" s="495"/>
      <c r="K94" s="497"/>
      <c r="L94" s="481"/>
    </row>
    <row r="95" spans="1:12" x14ac:dyDescent="0.3">
      <c r="A95" s="79" t="s">
        <v>3</v>
      </c>
      <c r="B95" s="80">
        <v>27</v>
      </c>
      <c r="C95" s="81">
        <v>322</v>
      </c>
      <c r="D95" s="82">
        <v>19</v>
      </c>
      <c r="E95" s="82">
        <v>1</v>
      </c>
      <c r="F95" s="81">
        <v>13</v>
      </c>
      <c r="G95" s="82"/>
      <c r="H95" s="82">
        <v>335</v>
      </c>
      <c r="I95" s="82">
        <v>19</v>
      </c>
      <c r="J95" s="122">
        <v>9.1880430373421262</v>
      </c>
      <c r="K95" s="122">
        <v>0.52111288868507577</v>
      </c>
      <c r="L95" s="120">
        <v>9.7091559260272025</v>
      </c>
    </row>
    <row r="96" spans="1:12" x14ac:dyDescent="0.3">
      <c r="A96" s="79" t="s">
        <v>96</v>
      </c>
      <c r="B96" s="80">
        <v>1</v>
      </c>
      <c r="C96" s="81">
        <v>14</v>
      </c>
      <c r="D96" s="82">
        <v>1</v>
      </c>
      <c r="E96" s="82"/>
      <c r="F96" s="81"/>
      <c r="G96" s="82"/>
      <c r="H96" s="82">
        <v>14</v>
      </c>
      <c r="I96" s="82">
        <v>1</v>
      </c>
      <c r="J96" s="122">
        <v>13.37677600588578</v>
      </c>
      <c r="K96" s="122">
        <v>0.95548400042041293</v>
      </c>
      <c r="L96" s="120">
        <v>14.332260006306194</v>
      </c>
    </row>
    <row r="97" spans="1:12" x14ac:dyDescent="0.3">
      <c r="A97" s="79" t="s">
        <v>5</v>
      </c>
      <c r="B97" s="80">
        <v>49</v>
      </c>
      <c r="C97" s="81">
        <v>726</v>
      </c>
      <c r="D97" s="82">
        <v>42</v>
      </c>
      <c r="E97" s="82"/>
      <c r="F97" s="81"/>
      <c r="G97" s="82"/>
      <c r="H97" s="82">
        <v>726</v>
      </c>
      <c r="I97" s="82">
        <v>42</v>
      </c>
      <c r="J97" s="122">
        <v>8.5830516650056214</v>
      </c>
      <c r="K97" s="122">
        <v>0.49654017896726732</v>
      </c>
      <c r="L97" s="120">
        <v>9.0795918439728887</v>
      </c>
    </row>
    <row r="98" spans="1:12" x14ac:dyDescent="0.3">
      <c r="A98" s="79" t="s">
        <v>97</v>
      </c>
      <c r="B98" s="80">
        <v>4</v>
      </c>
      <c r="C98" s="81">
        <v>64</v>
      </c>
      <c r="D98" s="82">
        <v>14</v>
      </c>
      <c r="E98" s="82"/>
      <c r="F98" s="81"/>
      <c r="G98" s="82"/>
      <c r="H98" s="82">
        <v>64</v>
      </c>
      <c r="I98" s="82">
        <v>14</v>
      </c>
      <c r="J98" s="122">
        <v>14.59048609116318</v>
      </c>
      <c r="K98" s="122">
        <v>3.191668832441946</v>
      </c>
      <c r="L98" s="120">
        <v>17.782154923605127</v>
      </c>
    </row>
    <row r="99" spans="1:12" x14ac:dyDescent="0.3">
      <c r="A99" s="79" t="s">
        <v>86</v>
      </c>
      <c r="B99" s="80">
        <v>3</v>
      </c>
      <c r="C99" s="81">
        <v>47</v>
      </c>
      <c r="D99" s="82">
        <v>0</v>
      </c>
      <c r="E99" s="82"/>
      <c r="F99" s="81"/>
      <c r="G99" s="82"/>
      <c r="H99" s="82">
        <v>47</v>
      </c>
      <c r="I99" s="82"/>
      <c r="J99" s="122">
        <v>10.294442972071396</v>
      </c>
      <c r="K99" s="122">
        <v>0</v>
      </c>
      <c r="L99" s="120">
        <v>10.294442972071396</v>
      </c>
    </row>
    <row r="100" spans="1:12" x14ac:dyDescent="0.3">
      <c r="A100" s="79" t="s">
        <v>6</v>
      </c>
      <c r="B100" s="80">
        <v>29</v>
      </c>
      <c r="C100" s="81">
        <v>453</v>
      </c>
      <c r="D100" s="82">
        <v>37</v>
      </c>
      <c r="E100" s="82">
        <v>4</v>
      </c>
      <c r="F100" s="81">
        <v>129</v>
      </c>
      <c r="G100" s="82"/>
      <c r="H100" s="82">
        <v>582</v>
      </c>
      <c r="I100" s="82">
        <v>37</v>
      </c>
      <c r="J100" s="122">
        <v>14.112950159461787</v>
      </c>
      <c r="K100" s="122">
        <v>0.89721504450186629</v>
      </c>
      <c r="L100" s="120">
        <v>15.010165203963654</v>
      </c>
    </row>
    <row r="101" spans="1:12" x14ac:dyDescent="0.3">
      <c r="A101" s="79" t="s">
        <v>22</v>
      </c>
      <c r="B101" s="80">
        <v>3</v>
      </c>
      <c r="C101" s="81">
        <v>37</v>
      </c>
      <c r="D101" s="82">
        <v>0</v>
      </c>
      <c r="E101" s="82"/>
      <c r="F101" s="81"/>
      <c r="G101" s="82"/>
      <c r="H101" s="82">
        <v>37</v>
      </c>
      <c r="I101" s="82"/>
      <c r="J101" s="122">
        <v>3.5957799149452274</v>
      </c>
      <c r="K101" s="122">
        <v>0</v>
      </c>
      <c r="L101" s="120">
        <v>3.5957799149452274</v>
      </c>
    </row>
    <row r="102" spans="1:12" x14ac:dyDescent="0.3">
      <c r="A102" s="79" t="s">
        <v>7</v>
      </c>
      <c r="B102" s="80">
        <v>9</v>
      </c>
      <c r="C102" s="81">
        <v>148</v>
      </c>
      <c r="D102" s="82">
        <v>6</v>
      </c>
      <c r="E102" s="82"/>
      <c r="F102" s="81"/>
      <c r="G102" s="82"/>
      <c r="H102" s="82">
        <v>148</v>
      </c>
      <c r="I102" s="82">
        <v>6</v>
      </c>
      <c r="J102" s="122">
        <v>11.286423500163957</v>
      </c>
      <c r="K102" s="122">
        <v>0.45755770946610641</v>
      </c>
      <c r="L102" s="120">
        <v>11.743981209630064</v>
      </c>
    </row>
    <row r="103" spans="1:12" x14ac:dyDescent="0.3">
      <c r="A103" s="79" t="s">
        <v>8</v>
      </c>
      <c r="B103" s="80">
        <v>16</v>
      </c>
      <c r="C103" s="81">
        <v>244</v>
      </c>
      <c r="D103" s="82">
        <v>2</v>
      </c>
      <c r="E103" s="82">
        <v>6</v>
      </c>
      <c r="F103" s="81">
        <v>213</v>
      </c>
      <c r="G103" s="82">
        <v>10</v>
      </c>
      <c r="H103" s="82">
        <v>457</v>
      </c>
      <c r="I103" s="82">
        <v>2</v>
      </c>
      <c r="J103" s="122">
        <v>12.070841311226173</v>
      </c>
      <c r="K103" s="122">
        <v>5.2826438998801635E-2</v>
      </c>
      <c r="L103" s="120">
        <v>12.123667750224975</v>
      </c>
    </row>
    <row r="104" spans="1:12" x14ac:dyDescent="0.3">
      <c r="A104" s="79" t="s">
        <v>9</v>
      </c>
      <c r="B104" s="80">
        <v>24</v>
      </c>
      <c r="C104" s="81">
        <v>214</v>
      </c>
      <c r="D104" s="82">
        <v>50</v>
      </c>
      <c r="E104" s="82">
        <v>2</v>
      </c>
      <c r="F104" s="81">
        <v>54</v>
      </c>
      <c r="G104" s="82">
        <v>3</v>
      </c>
      <c r="H104" s="82">
        <v>268</v>
      </c>
      <c r="I104" s="82">
        <v>53</v>
      </c>
      <c r="J104" s="122">
        <v>8.5268959935042865</v>
      </c>
      <c r="K104" s="122">
        <v>1.6862891330437582</v>
      </c>
      <c r="L104" s="120">
        <v>10.213185126548046</v>
      </c>
    </row>
    <row r="105" spans="1:12" x14ac:dyDescent="0.3">
      <c r="A105" s="79" t="s">
        <v>10</v>
      </c>
      <c r="B105" s="80">
        <v>3</v>
      </c>
      <c r="C105" s="81">
        <v>37</v>
      </c>
      <c r="D105" s="82">
        <v>3</v>
      </c>
      <c r="E105" s="82"/>
      <c r="F105" s="81"/>
      <c r="G105" s="82"/>
      <c r="H105" s="82">
        <v>37</v>
      </c>
      <c r="I105" s="82">
        <v>3</v>
      </c>
      <c r="J105" s="122">
        <v>5.0571872198044918</v>
      </c>
      <c r="K105" s="122">
        <v>0.41004220701117505</v>
      </c>
      <c r="L105" s="120">
        <v>5.4672294268156669</v>
      </c>
    </row>
    <row r="106" spans="1:12" x14ac:dyDescent="0.3">
      <c r="A106" s="79" t="s">
        <v>11</v>
      </c>
      <c r="B106" s="80">
        <v>11</v>
      </c>
      <c r="C106" s="81">
        <v>131</v>
      </c>
      <c r="D106" s="82">
        <v>5</v>
      </c>
      <c r="E106" s="82"/>
      <c r="F106" s="81"/>
      <c r="G106" s="82"/>
      <c r="H106" s="82">
        <v>131</v>
      </c>
      <c r="I106" s="82">
        <v>5</v>
      </c>
      <c r="J106" s="122">
        <v>10.326189344476159</v>
      </c>
      <c r="K106" s="122">
        <v>0.39412936429298318</v>
      </c>
      <c r="L106" s="120">
        <v>10.720318708769142</v>
      </c>
    </row>
    <row r="107" spans="1:12" x14ac:dyDescent="0.3">
      <c r="A107" s="79" t="s">
        <v>12</v>
      </c>
      <c r="B107" s="80">
        <v>27</v>
      </c>
      <c r="C107" s="81">
        <v>280</v>
      </c>
      <c r="D107" s="82">
        <v>48</v>
      </c>
      <c r="E107" s="82"/>
      <c r="F107" s="81"/>
      <c r="G107" s="82"/>
      <c r="H107" s="82">
        <v>280</v>
      </c>
      <c r="I107" s="82">
        <v>48</v>
      </c>
      <c r="J107" s="122">
        <v>5.7784834865388159</v>
      </c>
      <c r="K107" s="122">
        <v>0.99059716912093987</v>
      </c>
      <c r="L107" s="120">
        <v>6.7690806556597565</v>
      </c>
    </row>
    <row r="108" spans="1:12" x14ac:dyDescent="0.3">
      <c r="A108" s="79" t="s">
        <v>13</v>
      </c>
      <c r="B108" s="80">
        <v>7</v>
      </c>
      <c r="C108" s="81">
        <v>70</v>
      </c>
      <c r="D108" s="82">
        <v>3</v>
      </c>
      <c r="E108" s="82">
        <v>1</v>
      </c>
      <c r="F108" s="81">
        <v>24</v>
      </c>
      <c r="G108" s="82"/>
      <c r="H108" s="82">
        <v>94</v>
      </c>
      <c r="I108" s="82">
        <v>3</v>
      </c>
      <c r="J108" s="122">
        <v>8.6526530507045472</v>
      </c>
      <c r="K108" s="122">
        <v>0.27614850161823024</v>
      </c>
      <c r="L108" s="120">
        <v>8.9288015523227759</v>
      </c>
    </row>
    <row r="109" spans="1:12" x14ac:dyDescent="0.3">
      <c r="A109" s="79" t="s">
        <v>14</v>
      </c>
      <c r="B109" s="80">
        <v>3</v>
      </c>
      <c r="C109" s="81">
        <v>16</v>
      </c>
      <c r="D109" s="82">
        <v>3</v>
      </c>
      <c r="E109" s="82"/>
      <c r="F109" s="81"/>
      <c r="G109" s="82"/>
      <c r="H109" s="82">
        <v>16</v>
      </c>
      <c r="I109" s="82">
        <v>3</v>
      </c>
      <c r="J109" s="122">
        <v>6.3735370740684676</v>
      </c>
      <c r="K109" s="122">
        <v>1.1950382013878376</v>
      </c>
      <c r="L109" s="120">
        <v>7.5685752754563058</v>
      </c>
    </row>
    <row r="110" spans="1:12" x14ac:dyDescent="0.3">
      <c r="A110" s="79" t="s">
        <v>15</v>
      </c>
      <c r="B110" s="80">
        <v>19</v>
      </c>
      <c r="C110" s="81">
        <v>162</v>
      </c>
      <c r="D110" s="82">
        <v>35</v>
      </c>
      <c r="E110" s="82"/>
      <c r="F110" s="81"/>
      <c r="G110" s="82"/>
      <c r="H110" s="82">
        <v>162</v>
      </c>
      <c r="I110" s="82">
        <v>35</v>
      </c>
      <c r="J110" s="122">
        <v>3.4825131620725083</v>
      </c>
      <c r="K110" s="122">
        <v>0.75239481896628269</v>
      </c>
      <c r="L110" s="120">
        <v>4.2349079810387913</v>
      </c>
    </row>
    <row r="111" spans="1:12" x14ac:dyDescent="0.3">
      <c r="A111" s="79" t="s">
        <v>16</v>
      </c>
      <c r="B111" s="80">
        <v>15</v>
      </c>
      <c r="C111" s="81">
        <v>213</v>
      </c>
      <c r="D111" s="82">
        <v>9</v>
      </c>
      <c r="E111" s="82">
        <v>1</v>
      </c>
      <c r="F111" s="81">
        <v>16</v>
      </c>
      <c r="G111" s="82"/>
      <c r="H111" s="82">
        <v>229</v>
      </c>
      <c r="I111" s="82">
        <v>9</v>
      </c>
      <c r="J111" s="122">
        <v>6.9286985483620134</v>
      </c>
      <c r="K111" s="122">
        <v>0.27230692984828869</v>
      </c>
      <c r="L111" s="120">
        <v>7.2010054782103019</v>
      </c>
    </row>
    <row r="112" spans="1:12" x14ac:dyDescent="0.3">
      <c r="A112" s="79" t="s">
        <v>17</v>
      </c>
      <c r="B112" s="80">
        <v>4</v>
      </c>
      <c r="C112" s="81">
        <v>29</v>
      </c>
      <c r="D112" s="82">
        <v>3</v>
      </c>
      <c r="E112" s="82"/>
      <c r="F112" s="81"/>
      <c r="G112" s="82"/>
      <c r="H112" s="82">
        <v>29</v>
      </c>
      <c r="I112" s="82">
        <v>3</v>
      </c>
      <c r="J112" s="122">
        <v>6.3125541464773773</v>
      </c>
      <c r="K112" s="122">
        <v>0.65302284273903899</v>
      </c>
      <c r="L112" s="120">
        <v>6.9655769892164168</v>
      </c>
    </row>
    <row r="113" spans="1:12" x14ac:dyDescent="0.3">
      <c r="A113" s="79" t="s">
        <v>18</v>
      </c>
      <c r="B113" s="80">
        <v>11</v>
      </c>
      <c r="C113" s="81">
        <v>83</v>
      </c>
      <c r="D113" s="82">
        <v>12</v>
      </c>
      <c r="E113" s="82"/>
      <c r="F113" s="81"/>
      <c r="G113" s="82"/>
      <c r="H113" s="82">
        <v>83</v>
      </c>
      <c r="I113" s="82">
        <v>12</v>
      </c>
      <c r="J113" s="122">
        <v>5.3509963490732133</v>
      </c>
      <c r="K113" s="122">
        <v>0.77363802637203094</v>
      </c>
      <c r="L113" s="120">
        <v>6.124634375445245</v>
      </c>
    </row>
    <row r="114" spans="1:12" x14ac:dyDescent="0.3">
      <c r="A114" s="79" t="s">
        <v>19</v>
      </c>
      <c r="B114" s="80">
        <v>35</v>
      </c>
      <c r="C114" s="81">
        <v>383</v>
      </c>
      <c r="D114" s="82">
        <v>1</v>
      </c>
      <c r="E114" s="82">
        <v>4</v>
      </c>
      <c r="F114" s="81">
        <v>94</v>
      </c>
      <c r="G114" s="82"/>
      <c r="H114" s="82">
        <v>477</v>
      </c>
      <c r="I114" s="82">
        <v>1</v>
      </c>
      <c r="J114" s="122">
        <v>11.863251774513657</v>
      </c>
      <c r="K114" s="122">
        <v>2.4870548793529679E-2</v>
      </c>
      <c r="L114" s="120">
        <v>11.888122323307185</v>
      </c>
    </row>
    <row r="115" spans="1:12" x14ac:dyDescent="0.3">
      <c r="A115" s="79" t="s">
        <v>20</v>
      </c>
      <c r="B115" s="80">
        <v>7</v>
      </c>
      <c r="C115" s="81">
        <v>89</v>
      </c>
      <c r="D115" s="82">
        <v>5</v>
      </c>
      <c r="E115" s="82"/>
      <c r="F115" s="81"/>
      <c r="G115" s="82"/>
      <c r="H115" s="82">
        <v>89</v>
      </c>
      <c r="I115" s="82">
        <v>5</v>
      </c>
      <c r="J115" s="122">
        <v>6.4882471599338354</v>
      </c>
      <c r="K115" s="122">
        <v>0.3645082674120132</v>
      </c>
      <c r="L115" s="120">
        <v>6.8527554273458477</v>
      </c>
    </row>
    <row r="116" spans="1:12" ht="14.5" thickBot="1" x14ac:dyDescent="0.35">
      <c r="A116" s="83" t="s">
        <v>1</v>
      </c>
      <c r="B116" s="84">
        <v>307</v>
      </c>
      <c r="C116" s="85">
        <v>3762</v>
      </c>
      <c r="D116" s="86">
        <v>298</v>
      </c>
      <c r="E116" s="86">
        <v>19</v>
      </c>
      <c r="F116" s="85">
        <v>543</v>
      </c>
      <c r="G116" s="86">
        <v>13</v>
      </c>
      <c r="H116" s="86">
        <v>4305</v>
      </c>
      <c r="I116" s="86">
        <v>301</v>
      </c>
      <c r="J116" s="123">
        <v>8.6029882204807802</v>
      </c>
      <c r="K116" s="123">
        <v>0.60150974549703018</v>
      </c>
      <c r="L116" s="121">
        <v>9.2044979659778097</v>
      </c>
    </row>
  </sheetData>
  <mergeCells count="41">
    <mergeCell ref="I33:I34"/>
    <mergeCell ref="J33:K33"/>
    <mergeCell ref="A1:K1"/>
    <mergeCell ref="A3:A5"/>
    <mergeCell ref="B3:B5"/>
    <mergeCell ref="C3:E3"/>
    <mergeCell ref="F3:H3"/>
    <mergeCell ref="I3:K3"/>
    <mergeCell ref="C4:C5"/>
    <mergeCell ref="D4:E4"/>
    <mergeCell ref="H93:H94"/>
    <mergeCell ref="F4:F5"/>
    <mergeCell ref="G4:H4"/>
    <mergeCell ref="I4:I5"/>
    <mergeCell ref="J4:K4"/>
    <mergeCell ref="I93:I94"/>
    <mergeCell ref="A30:K30"/>
    <mergeCell ref="A32:A34"/>
    <mergeCell ref="B32:B34"/>
    <mergeCell ref="C32:E32"/>
    <mergeCell ref="F32:H32"/>
    <mergeCell ref="I32:K32"/>
    <mergeCell ref="C33:C34"/>
    <mergeCell ref="D33:E33"/>
    <mergeCell ref="F33:F34"/>
    <mergeCell ref="G33:H33"/>
    <mergeCell ref="L93:L94"/>
    <mergeCell ref="A61:K61"/>
    <mergeCell ref="A63:A65"/>
    <mergeCell ref="B63:D63"/>
    <mergeCell ref="E63:G63"/>
    <mergeCell ref="B64:B65"/>
    <mergeCell ref="C64:D64"/>
    <mergeCell ref="E64:E65"/>
    <mergeCell ref="F64:G64"/>
    <mergeCell ref="J93:J94"/>
    <mergeCell ref="K93:K94"/>
    <mergeCell ref="A91:K91"/>
    <mergeCell ref="A93:A94"/>
    <mergeCell ref="B93:D93"/>
    <mergeCell ref="E93:G93"/>
  </mergeCells>
  <pageMargins left="0.7" right="0.7" top="0.75" bottom="0.75" header="0.3" footer="0.3"/>
  <pageSetup paperSize="9" scale="5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7"/>
  <sheetViews>
    <sheetView zoomScale="77" zoomScaleNormal="77" workbookViewId="0">
      <selection activeCell="K81" sqref="K81"/>
    </sheetView>
  </sheetViews>
  <sheetFormatPr defaultColWidth="8.83203125" defaultRowHeight="14" x14ac:dyDescent="0.3"/>
  <cols>
    <col min="1" max="1" width="29.1640625" customWidth="1"/>
    <col min="2" max="2" width="15.5" bestFit="1" customWidth="1"/>
    <col min="3" max="3" width="12.83203125" customWidth="1"/>
    <col min="4" max="4" width="14.33203125" bestFit="1" customWidth="1"/>
    <col min="5" max="5" width="11" bestFit="1" customWidth="1"/>
    <col min="6" max="6" width="18" customWidth="1"/>
    <col min="7" max="7" width="9.1640625" bestFit="1" customWidth="1"/>
  </cols>
  <sheetData>
    <row r="1" spans="1:18" ht="26.25" customHeight="1" x14ac:dyDescent="0.3">
      <c r="A1" s="478" t="s">
        <v>224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</row>
    <row r="2" spans="1:18" ht="14.5" thickBot="1" x14ac:dyDescent="0.35"/>
    <row r="3" spans="1:18" ht="14.25" customHeight="1" x14ac:dyDescent="0.3">
      <c r="A3" s="543" t="s">
        <v>98</v>
      </c>
      <c r="B3" s="521" t="s">
        <v>190</v>
      </c>
      <c r="C3" s="522"/>
      <c r="D3" s="522"/>
      <c r="E3" s="522"/>
      <c r="F3" s="522"/>
      <c r="G3" s="522"/>
      <c r="H3" s="523"/>
      <c r="I3" s="521" t="s">
        <v>191</v>
      </c>
      <c r="J3" s="522"/>
      <c r="K3" s="522"/>
      <c r="L3" s="522"/>
      <c r="M3" s="522"/>
      <c r="N3" s="522"/>
      <c r="O3" s="523"/>
      <c r="P3" s="524" t="s">
        <v>101</v>
      </c>
      <c r="Q3" s="524"/>
      <c r="R3" s="525"/>
    </row>
    <row r="4" spans="1:18" x14ac:dyDescent="0.3">
      <c r="A4" s="544"/>
      <c r="B4" s="514" t="s">
        <v>192</v>
      </c>
      <c r="C4" s="514"/>
      <c r="D4" s="514" t="s">
        <v>193</v>
      </c>
      <c r="E4" s="514"/>
      <c r="F4" s="515" t="s">
        <v>21</v>
      </c>
      <c r="G4" s="516"/>
      <c r="H4" s="517"/>
      <c r="I4" s="514" t="s">
        <v>192</v>
      </c>
      <c r="J4" s="514"/>
      <c r="K4" s="514" t="s">
        <v>193</v>
      </c>
      <c r="L4" s="514"/>
      <c r="M4" s="515" t="s">
        <v>21</v>
      </c>
      <c r="N4" s="516"/>
      <c r="O4" s="517"/>
      <c r="P4" s="514" t="s">
        <v>222</v>
      </c>
      <c r="Q4" s="514" t="s">
        <v>223</v>
      </c>
      <c r="R4" s="519" t="s">
        <v>21</v>
      </c>
    </row>
    <row r="5" spans="1:18" ht="14.5" thickBot="1" x14ac:dyDescent="0.35">
      <c r="A5" s="545"/>
      <c r="B5" s="323" t="s">
        <v>222</v>
      </c>
      <c r="C5" s="324" t="s">
        <v>223</v>
      </c>
      <c r="D5" s="323" t="s">
        <v>222</v>
      </c>
      <c r="E5" s="324" t="s">
        <v>223</v>
      </c>
      <c r="F5" s="323" t="s">
        <v>222</v>
      </c>
      <c r="G5" s="324" t="s">
        <v>223</v>
      </c>
      <c r="H5" s="324" t="s">
        <v>21</v>
      </c>
      <c r="I5" s="323" t="s">
        <v>222</v>
      </c>
      <c r="J5" s="324" t="s">
        <v>223</v>
      </c>
      <c r="K5" s="323" t="s">
        <v>222</v>
      </c>
      <c r="L5" s="324" t="s">
        <v>223</v>
      </c>
      <c r="M5" s="323" t="s">
        <v>222</v>
      </c>
      <c r="N5" s="324" t="s">
        <v>223</v>
      </c>
      <c r="O5" s="324" t="s">
        <v>21</v>
      </c>
      <c r="P5" s="518"/>
      <c r="Q5" s="518"/>
      <c r="R5" s="520"/>
    </row>
    <row r="6" spans="1:18" x14ac:dyDescent="0.3">
      <c r="A6" s="325" t="s">
        <v>106</v>
      </c>
      <c r="B6" s="326">
        <v>2884</v>
      </c>
      <c r="C6" s="326">
        <v>1736</v>
      </c>
      <c r="D6" s="326">
        <v>125</v>
      </c>
      <c r="E6" s="326">
        <v>68</v>
      </c>
      <c r="F6" s="326">
        <v>3009</v>
      </c>
      <c r="G6" s="326">
        <v>1804</v>
      </c>
      <c r="H6" s="326">
        <f>SUM(F6:G6)</f>
        <v>4813</v>
      </c>
      <c r="I6" s="326">
        <v>114</v>
      </c>
      <c r="J6" s="326">
        <v>121</v>
      </c>
      <c r="K6" s="326">
        <v>183</v>
      </c>
      <c r="L6" s="326">
        <v>318</v>
      </c>
      <c r="M6" s="326">
        <f>I6+K6</f>
        <v>297</v>
      </c>
      <c r="N6" s="326">
        <f>J6+L6</f>
        <v>439</v>
      </c>
      <c r="O6" s="326">
        <f>SUM(M6:N6)</f>
        <v>736</v>
      </c>
      <c r="P6" s="326">
        <f>F6+M6</f>
        <v>3306</v>
      </c>
      <c r="Q6" s="326">
        <f t="shared" ref="Q6:Q16" si="0">G6+N6</f>
        <v>2243</v>
      </c>
      <c r="R6" s="326">
        <f>SUM(P6:Q6)</f>
        <v>5549</v>
      </c>
    </row>
    <row r="7" spans="1:18" x14ac:dyDescent="0.3">
      <c r="A7" s="327" t="s">
        <v>107</v>
      </c>
      <c r="B7" s="328">
        <v>1886</v>
      </c>
      <c r="C7" s="328">
        <v>1141</v>
      </c>
      <c r="D7" s="328">
        <v>98</v>
      </c>
      <c r="E7" s="328">
        <v>57</v>
      </c>
      <c r="F7" s="328">
        <v>1984</v>
      </c>
      <c r="G7" s="328">
        <v>1198</v>
      </c>
      <c r="H7" s="326">
        <f t="shared" ref="H7:H16" si="1">SUM(F7:G7)</f>
        <v>3182</v>
      </c>
      <c r="I7" s="328">
        <v>98</v>
      </c>
      <c r="J7" s="328">
        <v>101</v>
      </c>
      <c r="K7" s="328">
        <v>119</v>
      </c>
      <c r="L7" s="328">
        <v>212</v>
      </c>
      <c r="M7" s="328">
        <f t="shared" ref="M7:N16" si="2">I7+K7</f>
        <v>217</v>
      </c>
      <c r="N7" s="328">
        <f>J7+L7</f>
        <v>313</v>
      </c>
      <c r="O7" s="326">
        <f t="shared" ref="O7:O16" si="3">SUM(M7:N7)</f>
        <v>530</v>
      </c>
      <c r="P7" s="328">
        <f t="shared" ref="P7:P16" si="4">F7+M7</f>
        <v>2201</v>
      </c>
      <c r="Q7" s="328">
        <f t="shared" si="0"/>
        <v>1511</v>
      </c>
      <c r="R7" s="328">
        <f t="shared" ref="R7:R16" si="5">SUM(P7:Q7)</f>
        <v>3712</v>
      </c>
    </row>
    <row r="8" spans="1:18" x14ac:dyDescent="0.3">
      <c r="A8" s="327" t="s">
        <v>108</v>
      </c>
      <c r="B8" s="328">
        <v>1748</v>
      </c>
      <c r="C8" s="328">
        <v>386</v>
      </c>
      <c r="D8" s="328">
        <v>151</v>
      </c>
      <c r="E8" s="328">
        <v>34</v>
      </c>
      <c r="F8" s="328">
        <v>1899</v>
      </c>
      <c r="G8" s="328">
        <v>420</v>
      </c>
      <c r="H8" s="326">
        <f t="shared" si="1"/>
        <v>2319</v>
      </c>
      <c r="I8" s="328">
        <v>178</v>
      </c>
      <c r="J8" s="328">
        <v>66</v>
      </c>
      <c r="K8" s="328">
        <v>241</v>
      </c>
      <c r="L8" s="328">
        <v>111</v>
      </c>
      <c r="M8" s="328">
        <f t="shared" si="2"/>
        <v>419</v>
      </c>
      <c r="N8" s="328">
        <f t="shared" si="2"/>
        <v>177</v>
      </c>
      <c r="O8" s="326">
        <f t="shared" si="3"/>
        <v>596</v>
      </c>
      <c r="P8" s="328">
        <f t="shared" si="4"/>
        <v>2318</v>
      </c>
      <c r="Q8" s="328">
        <f t="shared" si="0"/>
        <v>597</v>
      </c>
      <c r="R8" s="328">
        <f t="shared" si="5"/>
        <v>2915</v>
      </c>
    </row>
    <row r="9" spans="1:18" x14ac:dyDescent="0.3">
      <c r="A9" s="327" t="s">
        <v>109</v>
      </c>
      <c r="B9" s="328">
        <v>7920</v>
      </c>
      <c r="C9" s="328">
        <v>4308</v>
      </c>
      <c r="D9" s="328">
        <v>20</v>
      </c>
      <c r="E9" s="328">
        <v>10</v>
      </c>
      <c r="F9" s="328">
        <v>7940</v>
      </c>
      <c r="G9" s="328">
        <v>4318</v>
      </c>
      <c r="H9" s="326">
        <f t="shared" si="1"/>
        <v>12258</v>
      </c>
      <c r="I9" s="328">
        <v>1024</v>
      </c>
      <c r="J9" s="328">
        <v>578</v>
      </c>
      <c r="K9" s="328">
        <v>335</v>
      </c>
      <c r="L9" s="328">
        <v>250</v>
      </c>
      <c r="M9" s="328">
        <f t="shared" si="2"/>
        <v>1359</v>
      </c>
      <c r="N9" s="328">
        <f t="shared" si="2"/>
        <v>828</v>
      </c>
      <c r="O9" s="326">
        <f t="shared" si="3"/>
        <v>2187</v>
      </c>
      <c r="P9" s="328">
        <f t="shared" si="4"/>
        <v>9299</v>
      </c>
      <c r="Q9" s="328">
        <f t="shared" si="0"/>
        <v>5146</v>
      </c>
      <c r="R9" s="328">
        <f t="shared" si="5"/>
        <v>14445</v>
      </c>
    </row>
    <row r="10" spans="1:18" ht="20" x14ac:dyDescent="0.3">
      <c r="A10" s="327" t="s">
        <v>116</v>
      </c>
      <c r="B10" s="328">
        <v>715</v>
      </c>
      <c r="C10" s="328">
        <v>84</v>
      </c>
      <c r="D10" s="328">
        <v>29</v>
      </c>
      <c r="E10" s="328">
        <v>10</v>
      </c>
      <c r="F10" s="328">
        <v>744</v>
      </c>
      <c r="G10" s="328">
        <v>94</v>
      </c>
      <c r="H10" s="326">
        <f t="shared" si="1"/>
        <v>838</v>
      </c>
      <c r="I10" s="328">
        <v>343</v>
      </c>
      <c r="J10" s="328">
        <v>75</v>
      </c>
      <c r="K10" s="328">
        <v>41</v>
      </c>
      <c r="L10" s="328">
        <v>11</v>
      </c>
      <c r="M10" s="328">
        <f t="shared" si="2"/>
        <v>384</v>
      </c>
      <c r="N10" s="328">
        <f t="shared" si="2"/>
        <v>86</v>
      </c>
      <c r="O10" s="326">
        <f t="shared" si="3"/>
        <v>470</v>
      </c>
      <c r="P10" s="328">
        <f t="shared" si="4"/>
        <v>1128</v>
      </c>
      <c r="Q10" s="328">
        <f t="shared" si="0"/>
        <v>180</v>
      </c>
      <c r="R10" s="328">
        <f t="shared" si="5"/>
        <v>1308</v>
      </c>
    </row>
    <row r="11" spans="1:18" x14ac:dyDescent="0.3">
      <c r="A11" s="327" t="s">
        <v>110</v>
      </c>
      <c r="B11" s="328">
        <v>1317</v>
      </c>
      <c r="C11" s="328">
        <v>282</v>
      </c>
      <c r="D11" s="328">
        <v>174</v>
      </c>
      <c r="E11" s="328">
        <v>109</v>
      </c>
      <c r="F11" s="328">
        <v>1491</v>
      </c>
      <c r="G11" s="328">
        <v>391</v>
      </c>
      <c r="H11" s="326">
        <f t="shared" si="1"/>
        <v>1882</v>
      </c>
      <c r="I11" s="328">
        <v>1108</v>
      </c>
      <c r="J11" s="328">
        <v>463</v>
      </c>
      <c r="K11" s="328">
        <v>130</v>
      </c>
      <c r="L11" s="328">
        <v>69</v>
      </c>
      <c r="M11" s="328">
        <f t="shared" si="2"/>
        <v>1238</v>
      </c>
      <c r="N11" s="328">
        <f t="shared" si="2"/>
        <v>532</v>
      </c>
      <c r="O11" s="326">
        <f t="shared" si="3"/>
        <v>1770</v>
      </c>
      <c r="P11" s="328">
        <f t="shared" si="4"/>
        <v>2729</v>
      </c>
      <c r="Q11" s="328">
        <f t="shared" si="0"/>
        <v>923</v>
      </c>
      <c r="R11" s="328">
        <f t="shared" si="5"/>
        <v>3652</v>
      </c>
    </row>
    <row r="12" spans="1:18" x14ac:dyDescent="0.3">
      <c r="A12" s="327" t="s">
        <v>111</v>
      </c>
      <c r="B12" s="328">
        <v>2400</v>
      </c>
      <c r="C12" s="328">
        <v>1183</v>
      </c>
      <c r="D12" s="328">
        <v>121</v>
      </c>
      <c r="E12" s="328">
        <v>66</v>
      </c>
      <c r="F12" s="328">
        <v>2521</v>
      </c>
      <c r="G12" s="328">
        <v>1249</v>
      </c>
      <c r="H12" s="326">
        <f t="shared" si="1"/>
        <v>3770</v>
      </c>
      <c r="I12" s="328">
        <v>1686</v>
      </c>
      <c r="J12" s="328">
        <v>960</v>
      </c>
      <c r="K12" s="328">
        <v>323</v>
      </c>
      <c r="L12" s="328">
        <v>192</v>
      </c>
      <c r="M12" s="328">
        <f t="shared" si="2"/>
        <v>2009</v>
      </c>
      <c r="N12" s="328">
        <f t="shared" si="2"/>
        <v>1152</v>
      </c>
      <c r="O12" s="326">
        <f t="shared" si="3"/>
        <v>3161</v>
      </c>
      <c r="P12" s="328">
        <f t="shared" si="4"/>
        <v>4530</v>
      </c>
      <c r="Q12" s="328">
        <f t="shared" si="0"/>
        <v>2401</v>
      </c>
      <c r="R12" s="328">
        <f t="shared" si="5"/>
        <v>6931</v>
      </c>
    </row>
    <row r="13" spans="1:18" x14ac:dyDescent="0.3">
      <c r="A13" s="327" t="s">
        <v>112</v>
      </c>
      <c r="B13" s="328">
        <v>1066</v>
      </c>
      <c r="C13" s="328">
        <v>75</v>
      </c>
      <c r="D13" s="328">
        <v>29</v>
      </c>
      <c r="E13" s="328">
        <v>4</v>
      </c>
      <c r="F13" s="328">
        <v>1095</v>
      </c>
      <c r="G13" s="328">
        <v>79</v>
      </c>
      <c r="H13" s="326">
        <f t="shared" si="1"/>
        <v>1174</v>
      </c>
      <c r="I13" s="328">
        <v>283</v>
      </c>
      <c r="J13" s="328">
        <v>36</v>
      </c>
      <c r="K13" s="328">
        <v>25</v>
      </c>
      <c r="L13" s="328">
        <v>0</v>
      </c>
      <c r="M13" s="328">
        <f t="shared" si="2"/>
        <v>308</v>
      </c>
      <c r="N13" s="328">
        <f t="shared" si="2"/>
        <v>36</v>
      </c>
      <c r="O13" s="326">
        <f t="shared" si="3"/>
        <v>344</v>
      </c>
      <c r="P13" s="328">
        <f t="shared" si="4"/>
        <v>1403</v>
      </c>
      <c r="Q13" s="328">
        <f t="shared" si="0"/>
        <v>115</v>
      </c>
      <c r="R13" s="328">
        <f t="shared" si="5"/>
        <v>1518</v>
      </c>
    </row>
    <row r="14" spans="1:18" x14ac:dyDescent="0.3">
      <c r="A14" s="327" t="s">
        <v>113</v>
      </c>
      <c r="B14" s="328">
        <v>39</v>
      </c>
      <c r="C14" s="328">
        <v>22</v>
      </c>
      <c r="D14" s="328">
        <v>0</v>
      </c>
      <c r="E14" s="328">
        <v>0</v>
      </c>
      <c r="F14" s="328">
        <v>39</v>
      </c>
      <c r="G14" s="328">
        <v>22</v>
      </c>
      <c r="H14" s="326">
        <f t="shared" si="1"/>
        <v>61</v>
      </c>
      <c r="I14" s="328">
        <v>8</v>
      </c>
      <c r="J14" s="328">
        <v>4</v>
      </c>
      <c r="K14" s="328">
        <v>1</v>
      </c>
      <c r="L14" s="328">
        <v>0</v>
      </c>
      <c r="M14" s="328">
        <f t="shared" si="2"/>
        <v>9</v>
      </c>
      <c r="N14" s="328">
        <f t="shared" si="2"/>
        <v>4</v>
      </c>
      <c r="O14" s="326">
        <f t="shared" si="3"/>
        <v>13</v>
      </c>
      <c r="P14" s="328">
        <f t="shared" si="4"/>
        <v>48</v>
      </c>
      <c r="Q14" s="328">
        <f t="shared" si="0"/>
        <v>26</v>
      </c>
      <c r="R14" s="328">
        <f t="shared" si="5"/>
        <v>74</v>
      </c>
    </row>
    <row r="15" spans="1:18" x14ac:dyDescent="0.3">
      <c r="A15" s="327" t="s">
        <v>114</v>
      </c>
      <c r="B15" s="328">
        <v>770</v>
      </c>
      <c r="C15" s="328">
        <v>364</v>
      </c>
      <c r="D15" s="328">
        <v>8</v>
      </c>
      <c r="E15" s="328">
        <v>3</v>
      </c>
      <c r="F15" s="328">
        <v>778</v>
      </c>
      <c r="G15" s="328">
        <v>367</v>
      </c>
      <c r="H15" s="326">
        <f t="shared" si="1"/>
        <v>1145</v>
      </c>
      <c r="I15" s="328">
        <v>274</v>
      </c>
      <c r="J15" s="328">
        <v>140</v>
      </c>
      <c r="K15" s="328">
        <v>17</v>
      </c>
      <c r="L15" s="328">
        <v>12</v>
      </c>
      <c r="M15" s="328">
        <f t="shared" si="2"/>
        <v>291</v>
      </c>
      <c r="N15" s="328">
        <f t="shared" si="2"/>
        <v>152</v>
      </c>
      <c r="O15" s="326">
        <f t="shared" si="3"/>
        <v>443</v>
      </c>
      <c r="P15" s="328">
        <f t="shared" si="4"/>
        <v>1069</v>
      </c>
      <c r="Q15" s="328">
        <f t="shared" si="0"/>
        <v>519</v>
      </c>
      <c r="R15" s="328">
        <f t="shared" si="5"/>
        <v>1588</v>
      </c>
    </row>
    <row r="16" spans="1:18" x14ac:dyDescent="0.3">
      <c r="A16" s="327" t="s">
        <v>115</v>
      </c>
      <c r="B16" s="328">
        <v>3248</v>
      </c>
      <c r="C16" s="328">
        <v>1267</v>
      </c>
      <c r="D16" s="328">
        <v>267</v>
      </c>
      <c r="E16" s="328">
        <v>100</v>
      </c>
      <c r="F16" s="328">
        <v>3515</v>
      </c>
      <c r="G16" s="328">
        <v>1367</v>
      </c>
      <c r="H16" s="326">
        <f t="shared" si="1"/>
        <v>4882</v>
      </c>
      <c r="I16" s="328">
        <v>556</v>
      </c>
      <c r="J16" s="328">
        <v>323</v>
      </c>
      <c r="K16" s="328">
        <v>86</v>
      </c>
      <c r="L16" s="328">
        <v>47</v>
      </c>
      <c r="M16" s="328">
        <f t="shared" si="2"/>
        <v>642</v>
      </c>
      <c r="N16" s="328">
        <f t="shared" si="2"/>
        <v>370</v>
      </c>
      <c r="O16" s="326">
        <f t="shared" si="3"/>
        <v>1012</v>
      </c>
      <c r="P16" s="328">
        <f t="shared" si="4"/>
        <v>4157</v>
      </c>
      <c r="Q16" s="328">
        <f t="shared" si="0"/>
        <v>1737</v>
      </c>
      <c r="R16" s="328">
        <f t="shared" si="5"/>
        <v>5894</v>
      </c>
    </row>
    <row r="17" spans="1:18" ht="14.5" thickBot="1" x14ac:dyDescent="0.35">
      <c r="A17" s="314" t="s">
        <v>1</v>
      </c>
      <c r="B17" s="329">
        <f>SUM(B6,B8:B16)</f>
        <v>22107</v>
      </c>
      <c r="C17" s="329">
        <f t="shared" ref="C17:R17" si="6">SUM(C6,C8:C16)</f>
        <v>9707</v>
      </c>
      <c r="D17" s="329">
        <f t="shared" si="6"/>
        <v>924</v>
      </c>
      <c r="E17" s="329">
        <f t="shared" si="6"/>
        <v>404</v>
      </c>
      <c r="F17" s="329">
        <f t="shared" si="6"/>
        <v>23031</v>
      </c>
      <c r="G17" s="329">
        <f t="shared" si="6"/>
        <v>10111</v>
      </c>
      <c r="H17" s="329">
        <f t="shared" si="6"/>
        <v>33142</v>
      </c>
      <c r="I17" s="329">
        <f t="shared" si="6"/>
        <v>5574</v>
      </c>
      <c r="J17" s="329">
        <f t="shared" si="6"/>
        <v>2766</v>
      </c>
      <c r="K17" s="329">
        <f t="shared" si="6"/>
        <v>1382</v>
      </c>
      <c r="L17" s="329">
        <f t="shared" si="6"/>
        <v>1010</v>
      </c>
      <c r="M17" s="329">
        <f t="shared" si="6"/>
        <v>6956</v>
      </c>
      <c r="N17" s="329">
        <f t="shared" si="6"/>
        <v>3776</v>
      </c>
      <c r="O17" s="329">
        <f t="shared" si="6"/>
        <v>10732</v>
      </c>
      <c r="P17" s="329">
        <f t="shared" si="6"/>
        <v>29987</v>
      </c>
      <c r="Q17" s="329">
        <f t="shared" si="6"/>
        <v>13887</v>
      </c>
      <c r="R17" s="329">
        <f t="shared" si="6"/>
        <v>43874</v>
      </c>
    </row>
    <row r="18" spans="1:18" x14ac:dyDescent="0.3">
      <c r="A18" s="310"/>
      <c r="B18" s="310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</row>
    <row r="20" spans="1:18" ht="26.25" customHeight="1" x14ac:dyDescent="0.3">
      <c r="A20" s="478" t="s">
        <v>225</v>
      </c>
      <c r="B20" s="479"/>
      <c r="C20" s="479"/>
      <c r="D20" s="479"/>
      <c r="E20" s="479"/>
      <c r="F20" s="479"/>
      <c r="G20" s="479"/>
      <c r="H20" s="479"/>
      <c r="I20" s="479"/>
      <c r="J20" s="479"/>
      <c r="K20" s="479"/>
    </row>
    <row r="21" spans="1:18" ht="14.5" thickBot="1" x14ac:dyDescent="0.35"/>
    <row r="22" spans="1:18" ht="14.25" customHeight="1" x14ac:dyDescent="0.3">
      <c r="A22" s="533" t="s">
        <v>98</v>
      </c>
      <c r="B22" s="536" t="s">
        <v>99</v>
      </c>
      <c r="C22" s="536"/>
      <c r="D22" s="536"/>
      <c r="E22" s="536"/>
      <c r="F22" s="537" t="s">
        <v>100</v>
      </c>
      <c r="G22" s="539" t="s">
        <v>101</v>
      </c>
    </row>
    <row r="23" spans="1:18" x14ac:dyDescent="0.3">
      <c r="A23" s="534"/>
      <c r="B23" s="541" t="s">
        <v>102</v>
      </c>
      <c r="C23" s="542" t="s">
        <v>103</v>
      </c>
      <c r="D23" s="542"/>
      <c r="E23" s="541" t="s">
        <v>101</v>
      </c>
      <c r="F23" s="538"/>
      <c r="G23" s="540"/>
    </row>
    <row r="24" spans="1:18" x14ac:dyDescent="0.3">
      <c r="A24" s="535"/>
      <c r="B24" s="541"/>
      <c r="C24" s="330" t="s">
        <v>104</v>
      </c>
      <c r="D24" s="330" t="s">
        <v>105</v>
      </c>
      <c r="E24" s="541"/>
      <c r="F24" s="538"/>
      <c r="G24" s="540"/>
    </row>
    <row r="25" spans="1:18" x14ac:dyDescent="0.3">
      <c r="A25" s="327" t="s">
        <v>106</v>
      </c>
      <c r="B25" s="331">
        <v>4491</v>
      </c>
      <c r="C25" s="331">
        <v>8</v>
      </c>
      <c r="D25" s="331">
        <v>121</v>
      </c>
      <c r="E25" s="331">
        <v>4620</v>
      </c>
      <c r="F25" s="331">
        <v>193</v>
      </c>
      <c r="G25" s="332">
        <v>4813</v>
      </c>
    </row>
    <row r="26" spans="1:18" x14ac:dyDescent="0.3">
      <c r="A26" s="327" t="s">
        <v>107</v>
      </c>
      <c r="B26" s="331">
        <v>2952</v>
      </c>
      <c r="C26" s="331">
        <v>8</v>
      </c>
      <c r="D26" s="331">
        <v>67</v>
      </c>
      <c r="E26" s="331">
        <v>3027</v>
      </c>
      <c r="F26" s="331">
        <v>155</v>
      </c>
      <c r="G26" s="332">
        <v>3182</v>
      </c>
    </row>
    <row r="27" spans="1:18" x14ac:dyDescent="0.3">
      <c r="A27" s="327" t="s">
        <v>108</v>
      </c>
      <c r="B27" s="331">
        <v>2072</v>
      </c>
      <c r="C27" s="331">
        <v>14</v>
      </c>
      <c r="D27" s="331">
        <v>48</v>
      </c>
      <c r="E27" s="331">
        <v>2134</v>
      </c>
      <c r="F27" s="331">
        <v>185</v>
      </c>
      <c r="G27" s="332">
        <v>2319</v>
      </c>
    </row>
    <row r="28" spans="1:18" x14ac:dyDescent="0.3">
      <c r="A28" s="327" t="s">
        <v>109</v>
      </c>
      <c r="B28" s="331">
        <v>11465</v>
      </c>
      <c r="C28" s="331">
        <v>119</v>
      </c>
      <c r="D28" s="331">
        <v>644</v>
      </c>
      <c r="E28" s="331">
        <v>12228</v>
      </c>
      <c r="F28" s="331">
        <v>30</v>
      </c>
      <c r="G28" s="332">
        <v>12258</v>
      </c>
    </row>
    <row r="29" spans="1:18" ht="20" x14ac:dyDescent="0.3">
      <c r="A29" s="327" t="s">
        <v>116</v>
      </c>
      <c r="B29" s="331">
        <v>757</v>
      </c>
      <c r="C29" s="331">
        <v>5</v>
      </c>
      <c r="D29" s="331">
        <v>37</v>
      </c>
      <c r="E29" s="331">
        <v>799</v>
      </c>
      <c r="F29" s="331">
        <v>39</v>
      </c>
      <c r="G29" s="332">
        <v>838</v>
      </c>
    </row>
    <row r="30" spans="1:18" x14ac:dyDescent="0.3">
      <c r="A30" s="327" t="s">
        <v>110</v>
      </c>
      <c r="B30" s="331">
        <v>1455</v>
      </c>
      <c r="C30" s="331">
        <v>20</v>
      </c>
      <c r="D30" s="331">
        <v>124</v>
      </c>
      <c r="E30" s="331">
        <v>1599</v>
      </c>
      <c r="F30" s="331">
        <v>283</v>
      </c>
      <c r="G30" s="332">
        <v>1882</v>
      </c>
    </row>
    <row r="31" spans="1:18" x14ac:dyDescent="0.3">
      <c r="A31" s="327" t="s">
        <v>111</v>
      </c>
      <c r="B31" s="331">
        <v>3422</v>
      </c>
      <c r="C31" s="331">
        <v>19</v>
      </c>
      <c r="D31" s="331">
        <v>142</v>
      </c>
      <c r="E31" s="331">
        <v>3583</v>
      </c>
      <c r="F31" s="331">
        <v>187</v>
      </c>
      <c r="G31" s="332">
        <v>3770</v>
      </c>
    </row>
    <row r="32" spans="1:18" x14ac:dyDescent="0.3">
      <c r="A32" s="327" t="s">
        <v>112</v>
      </c>
      <c r="B32" s="331">
        <v>1055</v>
      </c>
      <c r="C32" s="331">
        <v>10</v>
      </c>
      <c r="D32" s="331">
        <v>76</v>
      </c>
      <c r="E32" s="331">
        <v>1141</v>
      </c>
      <c r="F32" s="331">
        <v>33</v>
      </c>
      <c r="G32" s="332">
        <v>1174</v>
      </c>
    </row>
    <row r="33" spans="1:23" x14ac:dyDescent="0.3">
      <c r="A33" s="327" t="s">
        <v>113</v>
      </c>
      <c r="B33" s="331">
        <v>61</v>
      </c>
      <c r="C33" s="331">
        <v>0</v>
      </c>
      <c r="D33" s="331">
        <v>0</v>
      </c>
      <c r="E33" s="331">
        <v>61</v>
      </c>
      <c r="F33" s="331">
        <v>0</v>
      </c>
      <c r="G33" s="332">
        <v>61</v>
      </c>
    </row>
    <row r="34" spans="1:23" x14ac:dyDescent="0.3">
      <c r="A34" s="327" t="s">
        <v>114</v>
      </c>
      <c r="B34" s="331">
        <v>1047</v>
      </c>
      <c r="C34" s="331">
        <v>17</v>
      </c>
      <c r="D34" s="331">
        <v>70</v>
      </c>
      <c r="E34" s="331">
        <v>1134</v>
      </c>
      <c r="F34" s="331">
        <v>11</v>
      </c>
      <c r="G34" s="332">
        <v>1145</v>
      </c>
    </row>
    <row r="35" spans="1:23" x14ac:dyDescent="0.3">
      <c r="A35" s="327" t="s">
        <v>115</v>
      </c>
      <c r="B35" s="331">
        <v>4368</v>
      </c>
      <c r="C35" s="331">
        <v>28</v>
      </c>
      <c r="D35" s="331">
        <v>119</v>
      </c>
      <c r="E35" s="331">
        <v>4515</v>
      </c>
      <c r="F35" s="331">
        <v>367</v>
      </c>
      <c r="G35" s="332">
        <v>4882</v>
      </c>
    </row>
    <row r="36" spans="1:23" ht="14.5" thickBot="1" x14ac:dyDescent="0.35">
      <c r="A36" s="314" t="s">
        <v>1</v>
      </c>
      <c r="B36" s="333">
        <v>30193</v>
      </c>
      <c r="C36" s="333">
        <v>240</v>
      </c>
      <c r="D36" s="333">
        <v>1381</v>
      </c>
      <c r="E36" s="333">
        <v>31814</v>
      </c>
      <c r="F36" s="333">
        <v>1328</v>
      </c>
      <c r="G36" s="334">
        <v>33142</v>
      </c>
    </row>
    <row r="39" spans="1:23" ht="31.5" customHeight="1" x14ac:dyDescent="0.3">
      <c r="A39" s="478" t="s">
        <v>226</v>
      </c>
      <c r="B39" s="479"/>
      <c r="C39" s="479"/>
      <c r="D39" s="479"/>
      <c r="E39" s="479"/>
      <c r="F39" s="479"/>
      <c r="G39" s="479"/>
      <c r="H39" s="479"/>
      <c r="I39" s="479"/>
      <c r="J39" s="479"/>
      <c r="K39" s="479"/>
    </row>
    <row r="40" spans="1:23" ht="14.5" thickBot="1" x14ac:dyDescent="0.35"/>
    <row r="41" spans="1:23" ht="16" x14ac:dyDescent="0.3">
      <c r="A41" s="312" t="s">
        <v>98</v>
      </c>
      <c r="B41" s="335" t="s">
        <v>3</v>
      </c>
      <c r="C41" s="335" t="s">
        <v>4</v>
      </c>
      <c r="D41" s="335" t="s">
        <v>5</v>
      </c>
      <c r="E41" s="335" t="s">
        <v>23</v>
      </c>
      <c r="F41" s="335" t="s">
        <v>24</v>
      </c>
      <c r="G41" s="335" t="s">
        <v>6</v>
      </c>
      <c r="H41" s="335" t="s">
        <v>22</v>
      </c>
      <c r="I41" s="335" t="s">
        <v>7</v>
      </c>
      <c r="J41" s="335" t="s">
        <v>8</v>
      </c>
      <c r="K41" s="335" t="s">
        <v>9</v>
      </c>
      <c r="L41" s="335" t="s">
        <v>10</v>
      </c>
      <c r="M41" s="335" t="s">
        <v>11</v>
      </c>
      <c r="N41" s="335" t="s">
        <v>12</v>
      </c>
      <c r="O41" s="335" t="s">
        <v>13</v>
      </c>
      <c r="P41" s="335" t="s">
        <v>14</v>
      </c>
      <c r="Q41" s="335" t="s">
        <v>15</v>
      </c>
      <c r="R41" s="335" t="s">
        <v>16</v>
      </c>
      <c r="S41" s="335" t="s">
        <v>17</v>
      </c>
      <c r="T41" s="335" t="s">
        <v>18</v>
      </c>
      <c r="U41" s="335" t="s">
        <v>19</v>
      </c>
      <c r="V41" s="335" t="s">
        <v>20</v>
      </c>
      <c r="W41" s="336" t="s">
        <v>0</v>
      </c>
    </row>
    <row r="42" spans="1:23" x14ac:dyDescent="0.3">
      <c r="A42" s="313" t="s">
        <v>106</v>
      </c>
      <c r="B42" s="337">
        <v>267</v>
      </c>
      <c r="C42" s="337">
        <v>10</v>
      </c>
      <c r="D42" s="337">
        <v>719</v>
      </c>
      <c r="E42" s="337">
        <v>63</v>
      </c>
      <c r="F42" s="337">
        <v>62</v>
      </c>
      <c r="G42" s="337">
        <v>268</v>
      </c>
      <c r="H42" s="337">
        <v>97</v>
      </c>
      <c r="I42" s="337">
        <v>178</v>
      </c>
      <c r="J42" s="338">
        <v>477</v>
      </c>
      <c r="K42" s="337">
        <v>472</v>
      </c>
      <c r="L42" s="337">
        <v>71</v>
      </c>
      <c r="M42" s="337">
        <v>82</v>
      </c>
      <c r="N42" s="337">
        <v>571</v>
      </c>
      <c r="O42" s="338">
        <v>116</v>
      </c>
      <c r="P42" s="337">
        <v>20</v>
      </c>
      <c r="Q42" s="337">
        <v>426</v>
      </c>
      <c r="R42" s="337">
        <v>253</v>
      </c>
      <c r="S42" s="337">
        <v>21</v>
      </c>
      <c r="T42" s="337">
        <v>116</v>
      </c>
      <c r="U42" s="337">
        <v>440</v>
      </c>
      <c r="V42" s="337">
        <v>84</v>
      </c>
      <c r="W42" s="339">
        <v>4813</v>
      </c>
    </row>
    <row r="43" spans="1:23" x14ac:dyDescent="0.3">
      <c r="A43" s="313" t="s">
        <v>107</v>
      </c>
      <c r="B43" s="337">
        <v>238</v>
      </c>
      <c r="C43" s="337">
        <v>8</v>
      </c>
      <c r="D43" s="337">
        <v>363</v>
      </c>
      <c r="E43" s="337">
        <v>62</v>
      </c>
      <c r="F43" s="337">
        <v>46</v>
      </c>
      <c r="G43" s="337">
        <v>162</v>
      </c>
      <c r="H43" s="337"/>
      <c r="I43" s="337">
        <v>69</v>
      </c>
      <c r="J43" s="338">
        <v>455</v>
      </c>
      <c r="K43" s="337">
        <v>328</v>
      </c>
      <c r="L43" s="337">
        <v>56</v>
      </c>
      <c r="M43" s="337">
        <v>70</v>
      </c>
      <c r="N43" s="337">
        <v>471</v>
      </c>
      <c r="O43" s="338">
        <v>101</v>
      </c>
      <c r="P43" s="337">
        <v>20</v>
      </c>
      <c r="Q43" s="337">
        <v>152</v>
      </c>
      <c r="R43" s="337">
        <v>205</v>
      </c>
      <c r="S43" s="337">
        <v>12</v>
      </c>
      <c r="T43" s="337">
        <v>52</v>
      </c>
      <c r="U43" s="337">
        <v>250</v>
      </c>
      <c r="V43" s="337">
        <v>62</v>
      </c>
      <c r="W43" s="339">
        <v>3182</v>
      </c>
    </row>
    <row r="44" spans="1:23" x14ac:dyDescent="0.3">
      <c r="A44" s="313" t="s">
        <v>108</v>
      </c>
      <c r="B44" s="337">
        <v>83</v>
      </c>
      <c r="C44" s="337">
        <v>23</v>
      </c>
      <c r="D44" s="337">
        <v>452</v>
      </c>
      <c r="E44" s="337">
        <v>38</v>
      </c>
      <c r="F44" s="337">
        <v>68</v>
      </c>
      <c r="G44" s="337">
        <v>96</v>
      </c>
      <c r="H44" s="337">
        <v>27</v>
      </c>
      <c r="I44" s="337">
        <v>107</v>
      </c>
      <c r="J44" s="337">
        <v>215</v>
      </c>
      <c r="K44" s="337">
        <v>219</v>
      </c>
      <c r="L44" s="337">
        <v>37</v>
      </c>
      <c r="M44" s="337">
        <v>29</v>
      </c>
      <c r="N44" s="337">
        <v>393</v>
      </c>
      <c r="O44" s="337">
        <v>30</v>
      </c>
      <c r="P44" s="337">
        <v>26</v>
      </c>
      <c r="Q44" s="337">
        <v>119</v>
      </c>
      <c r="R44" s="337">
        <v>157</v>
      </c>
      <c r="S44" s="337">
        <v>5</v>
      </c>
      <c r="T44" s="337">
        <v>44</v>
      </c>
      <c r="U44" s="337">
        <v>128</v>
      </c>
      <c r="V44" s="337">
        <v>23</v>
      </c>
      <c r="W44" s="339">
        <v>2319</v>
      </c>
    </row>
    <row r="45" spans="1:23" x14ac:dyDescent="0.3">
      <c r="A45" s="313" t="s">
        <v>109</v>
      </c>
      <c r="B45" s="337">
        <v>738</v>
      </c>
      <c r="C45" s="337">
        <v>35</v>
      </c>
      <c r="D45" s="340">
        <v>2200</v>
      </c>
      <c r="E45" s="337">
        <v>176</v>
      </c>
      <c r="F45" s="337">
        <v>115</v>
      </c>
      <c r="G45" s="340">
        <v>1095</v>
      </c>
      <c r="H45" s="337">
        <v>387</v>
      </c>
      <c r="I45" s="337">
        <v>451</v>
      </c>
      <c r="J45" s="340">
        <v>1239</v>
      </c>
      <c r="K45" s="337">
        <v>988</v>
      </c>
      <c r="L45" s="337">
        <v>147</v>
      </c>
      <c r="M45" s="337">
        <v>327</v>
      </c>
      <c r="N45" s="340">
        <v>1184</v>
      </c>
      <c r="O45" s="337">
        <v>221</v>
      </c>
      <c r="P45" s="337">
        <v>44</v>
      </c>
      <c r="Q45" s="340">
        <v>1062</v>
      </c>
      <c r="R45" s="337">
        <v>508</v>
      </c>
      <c r="S45" s="337">
        <v>69</v>
      </c>
      <c r="T45" s="337">
        <v>238</v>
      </c>
      <c r="U45" s="340">
        <v>905</v>
      </c>
      <c r="V45" s="337">
        <v>129</v>
      </c>
      <c r="W45" s="339">
        <v>12258</v>
      </c>
    </row>
    <row r="46" spans="1:23" ht="20" x14ac:dyDescent="0.3">
      <c r="A46" s="313" t="s">
        <v>116</v>
      </c>
      <c r="B46" s="337">
        <v>4</v>
      </c>
      <c r="C46" s="337"/>
      <c r="D46" s="337">
        <v>162</v>
      </c>
      <c r="E46" s="337">
        <v>11</v>
      </c>
      <c r="F46" s="337">
        <v>82</v>
      </c>
      <c r="G46" s="337">
        <v>32</v>
      </c>
      <c r="H46" s="337"/>
      <c r="I46" s="337">
        <v>61</v>
      </c>
      <c r="J46" s="337">
        <v>119</v>
      </c>
      <c r="K46" s="337">
        <v>6</v>
      </c>
      <c r="L46" s="337"/>
      <c r="M46" s="337"/>
      <c r="N46" s="337">
        <v>107</v>
      </c>
      <c r="O46" s="337">
        <v>5</v>
      </c>
      <c r="P46" s="337">
        <v>5</v>
      </c>
      <c r="Q46" s="337">
        <v>81</v>
      </c>
      <c r="R46" s="337">
        <v>67</v>
      </c>
      <c r="S46" s="337"/>
      <c r="T46" s="337">
        <v>16</v>
      </c>
      <c r="U46" s="337">
        <v>58</v>
      </c>
      <c r="V46" s="337">
        <v>22</v>
      </c>
      <c r="W46" s="341">
        <v>838</v>
      </c>
    </row>
    <row r="47" spans="1:23" x14ac:dyDescent="0.3">
      <c r="A47" s="313" t="s">
        <v>110</v>
      </c>
      <c r="B47" s="337">
        <v>126</v>
      </c>
      <c r="C47" s="337">
        <v>8</v>
      </c>
      <c r="D47" s="337">
        <v>439</v>
      </c>
      <c r="E47" s="337">
        <v>1</v>
      </c>
      <c r="F47" s="337">
        <v>25</v>
      </c>
      <c r="G47" s="337">
        <v>126</v>
      </c>
      <c r="H47" s="337">
        <v>71</v>
      </c>
      <c r="I47" s="337">
        <v>60</v>
      </c>
      <c r="J47" s="337">
        <v>203</v>
      </c>
      <c r="K47" s="337">
        <v>224</v>
      </c>
      <c r="L47" s="337">
        <v>152</v>
      </c>
      <c r="M47" s="337">
        <v>45</v>
      </c>
      <c r="N47" s="337">
        <v>70</v>
      </c>
      <c r="O47" s="337">
        <v>3</v>
      </c>
      <c r="P47" s="337"/>
      <c r="Q47" s="337">
        <v>182</v>
      </c>
      <c r="R47" s="337">
        <v>53</v>
      </c>
      <c r="S47" s="337">
        <v>5</v>
      </c>
      <c r="T47" s="337">
        <v>12</v>
      </c>
      <c r="U47" s="337">
        <v>38</v>
      </c>
      <c r="V47" s="337">
        <v>39</v>
      </c>
      <c r="W47" s="339">
        <v>1882</v>
      </c>
    </row>
    <row r="48" spans="1:23" x14ac:dyDescent="0.3">
      <c r="A48" s="313" t="s">
        <v>111</v>
      </c>
      <c r="B48" s="337">
        <v>188</v>
      </c>
      <c r="C48" s="337">
        <v>6</v>
      </c>
      <c r="D48" s="337">
        <v>777</v>
      </c>
      <c r="E48" s="337">
        <v>92</v>
      </c>
      <c r="F48" s="337">
        <v>57</v>
      </c>
      <c r="G48" s="337">
        <v>479</v>
      </c>
      <c r="H48" s="337">
        <v>165</v>
      </c>
      <c r="I48" s="337">
        <v>132</v>
      </c>
      <c r="J48" s="337">
        <v>191</v>
      </c>
      <c r="K48" s="337">
        <v>300</v>
      </c>
      <c r="L48" s="337">
        <v>53</v>
      </c>
      <c r="M48" s="337">
        <v>90</v>
      </c>
      <c r="N48" s="337">
        <v>88</v>
      </c>
      <c r="O48" s="337">
        <v>16</v>
      </c>
      <c r="P48" s="337">
        <v>5</v>
      </c>
      <c r="Q48" s="337">
        <v>196</v>
      </c>
      <c r="R48" s="337">
        <v>637</v>
      </c>
      <c r="S48" s="337">
        <v>15</v>
      </c>
      <c r="T48" s="337">
        <v>61</v>
      </c>
      <c r="U48" s="337">
        <v>189</v>
      </c>
      <c r="V48" s="337">
        <v>33</v>
      </c>
      <c r="W48" s="339">
        <v>3770</v>
      </c>
    </row>
    <row r="49" spans="1:23" x14ac:dyDescent="0.3">
      <c r="A49" s="313" t="s">
        <v>112</v>
      </c>
      <c r="B49" s="337">
        <v>57</v>
      </c>
      <c r="C49" s="337">
        <v>6</v>
      </c>
      <c r="D49" s="337">
        <v>218</v>
      </c>
      <c r="E49" s="337">
        <v>23</v>
      </c>
      <c r="F49" s="337"/>
      <c r="G49" s="337">
        <v>69</v>
      </c>
      <c r="H49" s="337">
        <v>27</v>
      </c>
      <c r="I49" s="337">
        <v>55</v>
      </c>
      <c r="J49" s="337">
        <v>49</v>
      </c>
      <c r="K49" s="337">
        <v>63</v>
      </c>
      <c r="L49" s="337">
        <v>20</v>
      </c>
      <c r="M49" s="337">
        <v>17</v>
      </c>
      <c r="N49" s="337">
        <v>174</v>
      </c>
      <c r="O49" s="337">
        <v>15</v>
      </c>
      <c r="P49" s="337">
        <v>4</v>
      </c>
      <c r="Q49" s="337">
        <v>78</v>
      </c>
      <c r="R49" s="337">
        <v>111</v>
      </c>
      <c r="S49" s="337">
        <v>4</v>
      </c>
      <c r="T49" s="337">
        <v>36</v>
      </c>
      <c r="U49" s="337">
        <v>130</v>
      </c>
      <c r="V49" s="337">
        <v>18</v>
      </c>
      <c r="W49" s="339">
        <v>1174</v>
      </c>
    </row>
    <row r="50" spans="1:23" x14ac:dyDescent="0.3">
      <c r="A50" s="313" t="s">
        <v>113</v>
      </c>
      <c r="B50" s="337">
        <v>3</v>
      </c>
      <c r="C50" s="337"/>
      <c r="D50" s="337"/>
      <c r="E50" s="337"/>
      <c r="F50" s="337"/>
      <c r="G50" s="337"/>
      <c r="H50" s="337"/>
      <c r="I50" s="337"/>
      <c r="J50" s="337">
        <v>10</v>
      </c>
      <c r="K50" s="337">
        <v>2</v>
      </c>
      <c r="L50" s="337"/>
      <c r="M50" s="337"/>
      <c r="N50" s="337"/>
      <c r="O50" s="337"/>
      <c r="P50" s="337"/>
      <c r="Q50" s="337">
        <v>15</v>
      </c>
      <c r="R50" s="337">
        <v>7</v>
      </c>
      <c r="S50" s="337">
        <v>1</v>
      </c>
      <c r="T50" s="337">
        <v>14</v>
      </c>
      <c r="U50" s="337">
        <v>9</v>
      </c>
      <c r="V50" s="337"/>
      <c r="W50" s="341">
        <v>61</v>
      </c>
    </row>
    <row r="51" spans="1:23" x14ac:dyDescent="0.3">
      <c r="A51" s="313" t="s">
        <v>114</v>
      </c>
      <c r="B51" s="337">
        <v>52</v>
      </c>
      <c r="C51" s="337">
        <v>17</v>
      </c>
      <c r="D51" s="337">
        <v>149</v>
      </c>
      <c r="E51" s="337">
        <v>2</v>
      </c>
      <c r="F51" s="337">
        <v>17</v>
      </c>
      <c r="G51" s="337">
        <v>37</v>
      </c>
      <c r="H51" s="337">
        <v>18</v>
      </c>
      <c r="I51" s="337">
        <v>36</v>
      </c>
      <c r="J51" s="337">
        <v>112</v>
      </c>
      <c r="K51" s="337">
        <v>5</v>
      </c>
      <c r="L51" s="337">
        <v>5</v>
      </c>
      <c r="M51" s="337">
        <v>2</v>
      </c>
      <c r="N51" s="337">
        <v>83</v>
      </c>
      <c r="O51" s="337">
        <v>9</v>
      </c>
      <c r="P51" s="337">
        <v>3</v>
      </c>
      <c r="Q51" s="337">
        <v>90</v>
      </c>
      <c r="R51" s="337">
        <v>417</v>
      </c>
      <c r="S51" s="337">
        <v>4</v>
      </c>
      <c r="T51" s="337">
        <v>20</v>
      </c>
      <c r="U51" s="337">
        <v>60</v>
      </c>
      <c r="V51" s="337">
        <v>7</v>
      </c>
      <c r="W51" s="341">
        <v>1145</v>
      </c>
    </row>
    <row r="52" spans="1:23" x14ac:dyDescent="0.3">
      <c r="A52" s="313" t="s">
        <v>115</v>
      </c>
      <c r="B52" s="337">
        <v>12</v>
      </c>
      <c r="C52" s="337">
        <v>4</v>
      </c>
      <c r="D52" s="337">
        <v>300</v>
      </c>
      <c r="E52" s="337">
        <v>24</v>
      </c>
      <c r="F52" s="337">
        <v>60</v>
      </c>
      <c r="G52" s="337">
        <v>28</v>
      </c>
      <c r="H52" s="337">
        <v>9</v>
      </c>
      <c r="I52" s="337">
        <v>93</v>
      </c>
      <c r="J52" s="337">
        <v>45</v>
      </c>
      <c r="K52" s="337">
        <v>249</v>
      </c>
      <c r="L52" s="337">
        <v>84</v>
      </c>
      <c r="M52" s="337">
        <v>12</v>
      </c>
      <c r="N52" s="337">
        <v>160</v>
      </c>
      <c r="O52" s="337">
        <v>17</v>
      </c>
      <c r="P52" s="337">
        <v>2</v>
      </c>
      <c r="Q52" s="337">
        <v>355</v>
      </c>
      <c r="R52" s="337">
        <v>3159</v>
      </c>
      <c r="S52" s="337">
        <v>2</v>
      </c>
      <c r="T52" s="337">
        <v>63</v>
      </c>
      <c r="U52" s="337">
        <v>173</v>
      </c>
      <c r="V52" s="337">
        <v>31</v>
      </c>
      <c r="W52" s="339">
        <v>4882</v>
      </c>
    </row>
    <row r="53" spans="1:23" ht="14.5" thickBot="1" x14ac:dyDescent="0.35">
      <c r="A53" s="314" t="s">
        <v>1</v>
      </c>
      <c r="B53" s="342">
        <v>1530</v>
      </c>
      <c r="C53" s="343">
        <v>109</v>
      </c>
      <c r="D53" s="342">
        <v>5416</v>
      </c>
      <c r="E53" s="343">
        <v>430</v>
      </c>
      <c r="F53" s="343">
        <v>486</v>
      </c>
      <c r="G53" s="342">
        <v>2230</v>
      </c>
      <c r="H53" s="343">
        <v>801</v>
      </c>
      <c r="I53" s="342">
        <v>1173</v>
      </c>
      <c r="J53" s="342">
        <v>2660</v>
      </c>
      <c r="K53" s="342">
        <v>2528</v>
      </c>
      <c r="L53" s="343">
        <v>569</v>
      </c>
      <c r="M53" s="343">
        <v>604</v>
      </c>
      <c r="N53" s="342">
        <v>2830</v>
      </c>
      <c r="O53" s="343">
        <v>432</v>
      </c>
      <c r="P53" s="343">
        <v>109</v>
      </c>
      <c r="Q53" s="342">
        <v>2604</v>
      </c>
      <c r="R53" s="342">
        <v>5369</v>
      </c>
      <c r="S53" s="343">
        <v>126</v>
      </c>
      <c r="T53" s="343">
        <v>620</v>
      </c>
      <c r="U53" s="342">
        <v>2130</v>
      </c>
      <c r="V53" s="343">
        <v>386</v>
      </c>
      <c r="W53" s="344">
        <v>33142</v>
      </c>
    </row>
    <row r="60" spans="1:23" ht="41" customHeight="1" x14ac:dyDescent="0.3">
      <c r="A60" s="478" t="s">
        <v>227</v>
      </c>
      <c r="B60" s="478"/>
      <c r="C60" s="478"/>
      <c r="D60" s="478"/>
      <c r="E60" s="478"/>
      <c r="F60" s="478"/>
      <c r="G60" s="478"/>
    </row>
    <row r="61" spans="1:23" ht="14.5" thickBot="1" x14ac:dyDescent="0.35">
      <c r="A61" s="309"/>
    </row>
    <row r="62" spans="1:23" ht="14.25" customHeight="1" x14ac:dyDescent="0.3">
      <c r="A62" s="526" t="s">
        <v>98</v>
      </c>
      <c r="B62" s="529" t="s">
        <v>189</v>
      </c>
      <c r="C62" s="529" t="s">
        <v>100</v>
      </c>
      <c r="D62" s="531" t="s">
        <v>101</v>
      </c>
    </row>
    <row r="63" spans="1:23" x14ac:dyDescent="0.3">
      <c r="A63" s="527"/>
      <c r="B63" s="530"/>
      <c r="C63" s="530"/>
      <c r="D63" s="532"/>
    </row>
    <row r="64" spans="1:23" x14ac:dyDescent="0.3">
      <c r="A64" s="528"/>
      <c r="B64" s="530"/>
      <c r="C64" s="530"/>
      <c r="D64" s="532"/>
    </row>
    <row r="65" spans="1:7" x14ac:dyDescent="0.3">
      <c r="A65" s="345" t="s">
        <v>106</v>
      </c>
      <c r="B65" s="331">
        <v>235</v>
      </c>
      <c r="C65" s="331">
        <v>501</v>
      </c>
      <c r="D65" s="332">
        <v>736</v>
      </c>
    </row>
    <row r="66" spans="1:7" x14ac:dyDescent="0.3">
      <c r="A66" s="345" t="s">
        <v>198</v>
      </c>
      <c r="B66" s="331">
        <v>199</v>
      </c>
      <c r="C66" s="331">
        <v>331</v>
      </c>
      <c r="D66" s="332">
        <v>530</v>
      </c>
    </row>
    <row r="67" spans="1:7" x14ac:dyDescent="0.3">
      <c r="A67" s="345" t="s">
        <v>108</v>
      </c>
      <c r="B67" s="331">
        <v>244</v>
      </c>
      <c r="C67" s="331">
        <v>352</v>
      </c>
      <c r="D67" s="332">
        <v>596</v>
      </c>
    </row>
    <row r="68" spans="1:7" x14ac:dyDescent="0.3">
      <c r="A68" s="345" t="s">
        <v>109</v>
      </c>
      <c r="B68" s="331">
        <v>1602</v>
      </c>
      <c r="C68" s="331">
        <v>585</v>
      </c>
      <c r="D68" s="332">
        <v>2187</v>
      </c>
    </row>
    <row r="69" spans="1:7" ht="23" x14ac:dyDescent="0.3">
      <c r="A69" s="345" t="s">
        <v>116</v>
      </c>
      <c r="B69" s="331">
        <v>418</v>
      </c>
      <c r="C69" s="331">
        <v>52</v>
      </c>
      <c r="D69" s="332">
        <v>470</v>
      </c>
    </row>
    <row r="70" spans="1:7" x14ac:dyDescent="0.3">
      <c r="A70" s="345" t="s">
        <v>110</v>
      </c>
      <c r="B70" s="331">
        <v>1571</v>
      </c>
      <c r="C70" s="331">
        <v>199</v>
      </c>
      <c r="D70" s="332">
        <v>1770</v>
      </c>
    </row>
    <row r="71" spans="1:7" x14ac:dyDescent="0.3">
      <c r="A71" s="345" t="s">
        <v>111</v>
      </c>
      <c r="B71" s="331">
        <v>2646</v>
      </c>
      <c r="C71" s="331">
        <v>515</v>
      </c>
      <c r="D71" s="332">
        <v>3161</v>
      </c>
    </row>
    <row r="72" spans="1:7" x14ac:dyDescent="0.3">
      <c r="A72" s="345" t="s">
        <v>112</v>
      </c>
      <c r="B72" s="331">
        <v>319</v>
      </c>
      <c r="C72" s="331">
        <v>25</v>
      </c>
      <c r="D72" s="332">
        <v>344</v>
      </c>
    </row>
    <row r="73" spans="1:7" x14ac:dyDescent="0.3">
      <c r="A73" s="345" t="s">
        <v>113</v>
      </c>
      <c r="B73" s="331">
        <v>12</v>
      </c>
      <c r="C73" s="331">
        <v>1</v>
      </c>
      <c r="D73" s="332">
        <v>13</v>
      </c>
    </row>
    <row r="74" spans="1:7" x14ac:dyDescent="0.3">
      <c r="A74" s="345" t="s">
        <v>114</v>
      </c>
      <c r="B74" s="331">
        <v>414</v>
      </c>
      <c r="C74" s="331">
        <v>29</v>
      </c>
      <c r="D74" s="332">
        <v>443</v>
      </c>
    </row>
    <row r="75" spans="1:7" x14ac:dyDescent="0.3">
      <c r="A75" s="345" t="s">
        <v>115</v>
      </c>
      <c r="B75" s="331">
        <v>879</v>
      </c>
      <c r="C75" s="331">
        <v>133</v>
      </c>
      <c r="D75" s="332">
        <v>1012</v>
      </c>
    </row>
    <row r="76" spans="1:7" ht="14.5" thickBot="1" x14ac:dyDescent="0.35">
      <c r="A76" s="346" t="s">
        <v>1</v>
      </c>
      <c r="B76" s="333">
        <v>8340</v>
      </c>
      <c r="C76" s="333">
        <v>2392</v>
      </c>
      <c r="D76" s="334">
        <v>10732</v>
      </c>
    </row>
    <row r="77" spans="1:7" x14ac:dyDescent="0.3">
      <c r="A77" s="310"/>
      <c r="B77" s="311"/>
      <c r="C77" s="311"/>
      <c r="D77" s="311"/>
      <c r="E77" s="311"/>
      <c r="F77" s="311"/>
      <c r="G77" s="311"/>
    </row>
  </sheetData>
  <mergeCells count="28">
    <mergeCell ref="A1:K1"/>
    <mergeCell ref="A60:G60"/>
    <mergeCell ref="A62:A64"/>
    <mergeCell ref="B62:B64"/>
    <mergeCell ref="C62:C64"/>
    <mergeCell ref="D62:D64"/>
    <mergeCell ref="A39:K39"/>
    <mergeCell ref="A20:K20"/>
    <mergeCell ref="A22:A24"/>
    <mergeCell ref="B22:E22"/>
    <mergeCell ref="F22:F24"/>
    <mergeCell ref="G22:G24"/>
    <mergeCell ref="B23:B24"/>
    <mergeCell ref="C23:D23"/>
    <mergeCell ref="E23:E24"/>
    <mergeCell ref="A3:A5"/>
    <mergeCell ref="B4:C4"/>
    <mergeCell ref="D4:E4"/>
    <mergeCell ref="P4:P5"/>
    <mergeCell ref="B3:H3"/>
    <mergeCell ref="I3:O3"/>
    <mergeCell ref="P3:R3"/>
    <mergeCell ref="F4:H4"/>
    <mergeCell ref="I4:J4"/>
    <mergeCell ref="K4:L4"/>
    <mergeCell ref="M4:O4"/>
    <mergeCell ref="Q4:Q5"/>
    <mergeCell ref="R4:R5"/>
  </mergeCells>
  <pageMargins left="0.7" right="0.7" top="0.75" bottom="0.75" header="0.3" footer="0.3"/>
  <pageSetup paperSize="9" orientation="portrait" verticalDpi="0" r:id="rId1"/>
  <ignoredErrors>
    <ignoredError sqref="H6:H1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379"/>
  <sheetViews>
    <sheetView topLeftCell="A256" zoomScale="70" zoomScaleNormal="70" workbookViewId="0">
      <selection activeCell="K276" sqref="K276"/>
    </sheetView>
  </sheetViews>
  <sheetFormatPr defaultColWidth="8.83203125" defaultRowHeight="14" x14ac:dyDescent="0.3"/>
  <cols>
    <col min="1" max="1" width="3.33203125" bestFit="1" customWidth="1"/>
    <col min="2" max="2" width="23.1640625" customWidth="1"/>
    <col min="3" max="3" width="11.6640625" bestFit="1" customWidth="1"/>
    <col min="4" max="4" width="13.5" bestFit="1" customWidth="1"/>
    <col min="5" max="5" width="10.1640625" bestFit="1" customWidth="1"/>
    <col min="6" max="6" width="11.1640625" bestFit="1" customWidth="1"/>
    <col min="7" max="9" width="10.1640625" bestFit="1" customWidth="1"/>
    <col min="10" max="10" width="11.1640625" bestFit="1" customWidth="1"/>
    <col min="11" max="12" width="10.1640625" bestFit="1" customWidth="1"/>
    <col min="13" max="15" width="11.1640625" bestFit="1" customWidth="1"/>
    <col min="16" max="17" width="10.1640625" bestFit="1" customWidth="1"/>
    <col min="18" max="18" width="11.1640625" bestFit="1" customWidth="1"/>
    <col min="19" max="19" width="12.6640625" bestFit="1" customWidth="1"/>
    <col min="20" max="21" width="11.83203125" bestFit="1" customWidth="1"/>
    <col min="22" max="22" width="13.5" customWidth="1"/>
    <col min="23" max="24" width="12.1640625" bestFit="1" customWidth="1"/>
    <col min="25" max="25" width="11.83203125" bestFit="1" customWidth="1"/>
    <col min="26" max="26" width="13.5" bestFit="1" customWidth="1"/>
    <col min="27" max="28" width="9.1640625" bestFit="1" customWidth="1"/>
    <col min="29" max="29" width="19.6640625" bestFit="1" customWidth="1"/>
    <col min="30" max="37" width="9.1640625" customWidth="1"/>
    <col min="38" max="39" width="9.33203125" bestFit="1" customWidth="1"/>
  </cols>
  <sheetData>
    <row r="1" spans="1:23" s="88" customFormat="1" ht="36" customHeight="1" x14ac:dyDescent="0.3">
      <c r="A1" s="478" t="s">
        <v>228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</row>
    <row r="2" spans="1:23" ht="14.5" thickBot="1" x14ac:dyDescent="0.35"/>
    <row r="3" spans="1:23" x14ac:dyDescent="0.3">
      <c r="B3" s="407" t="s">
        <v>2</v>
      </c>
      <c r="C3" s="408" t="s">
        <v>25</v>
      </c>
      <c r="D3" s="408" t="s">
        <v>26</v>
      </c>
      <c r="E3" s="409" t="s">
        <v>0</v>
      </c>
    </row>
    <row r="4" spans="1:23" x14ac:dyDescent="0.3">
      <c r="B4" s="185" t="s">
        <v>3</v>
      </c>
      <c r="C4" s="186">
        <v>186.00661861980899</v>
      </c>
      <c r="D4" s="186">
        <v>214.79903365972899</v>
      </c>
      <c r="E4" s="187">
        <v>200.84405680193501</v>
      </c>
    </row>
    <row r="5" spans="1:23" x14ac:dyDescent="0.3">
      <c r="B5" s="185" t="s">
        <v>4</v>
      </c>
      <c r="C5" s="186">
        <v>174.45470775440501</v>
      </c>
      <c r="D5" s="186">
        <v>222.095567281352</v>
      </c>
      <c r="E5" s="187">
        <v>198.91808200296401</v>
      </c>
      <c r="W5" s="23"/>
    </row>
    <row r="6" spans="1:23" x14ac:dyDescent="0.3">
      <c r="B6" s="185" t="s">
        <v>5</v>
      </c>
      <c r="C6" s="186">
        <v>163.130063935268</v>
      </c>
      <c r="D6" s="186">
        <v>185.147094711932</v>
      </c>
      <c r="E6" s="187">
        <v>174.39834819007299</v>
      </c>
    </row>
    <row r="7" spans="1:23" x14ac:dyDescent="0.3">
      <c r="B7" s="185" t="s">
        <v>23</v>
      </c>
      <c r="C7" s="186">
        <v>294.472692687566</v>
      </c>
      <c r="D7" s="186">
        <v>359.45570035170402</v>
      </c>
      <c r="E7" s="187">
        <v>327.48045917012797</v>
      </c>
    </row>
    <row r="8" spans="1:23" x14ac:dyDescent="0.3">
      <c r="B8" s="185" t="s">
        <v>24</v>
      </c>
      <c r="C8" s="186">
        <v>225.754169960387</v>
      </c>
      <c r="D8" s="186">
        <v>284.92518380559198</v>
      </c>
      <c r="E8" s="187">
        <v>255.93311291523099</v>
      </c>
    </row>
    <row r="9" spans="1:23" x14ac:dyDescent="0.3">
      <c r="B9" s="185" t="s">
        <v>6</v>
      </c>
      <c r="C9" s="186">
        <v>136.61690155771899</v>
      </c>
      <c r="D9" s="186">
        <v>170.236381089513</v>
      </c>
      <c r="E9" s="187">
        <v>153.81104474720999</v>
      </c>
    </row>
    <row r="10" spans="1:23" x14ac:dyDescent="0.3">
      <c r="B10" s="185" t="s">
        <v>22</v>
      </c>
      <c r="C10" s="186">
        <v>167.98878966369</v>
      </c>
      <c r="D10" s="186">
        <v>214.984549110871</v>
      </c>
      <c r="E10" s="187">
        <v>192.11857385037999</v>
      </c>
    </row>
    <row r="11" spans="1:23" x14ac:dyDescent="0.3">
      <c r="B11" s="185" t="s">
        <v>7</v>
      </c>
      <c r="C11" s="186">
        <v>399.59778231339999</v>
      </c>
      <c r="D11" s="186">
        <v>491.53923099953403</v>
      </c>
      <c r="E11" s="187">
        <v>447.23194520765401</v>
      </c>
    </row>
    <row r="12" spans="1:23" x14ac:dyDescent="0.3">
      <c r="B12" s="185" t="s">
        <v>8</v>
      </c>
      <c r="C12" s="186">
        <v>212.03247210586801</v>
      </c>
      <c r="D12" s="186">
        <v>256.40491183046697</v>
      </c>
      <c r="E12" s="187">
        <v>234.83061806975701</v>
      </c>
    </row>
    <row r="13" spans="1:23" x14ac:dyDescent="0.3">
      <c r="B13" s="185" t="s">
        <v>9</v>
      </c>
      <c r="C13" s="186">
        <v>110.19918788912599</v>
      </c>
      <c r="D13" s="186">
        <v>133.16663963361401</v>
      </c>
      <c r="E13" s="187">
        <v>122.097870274003</v>
      </c>
    </row>
    <row r="14" spans="1:23" x14ac:dyDescent="0.3">
      <c r="B14" s="185" t="s">
        <v>10</v>
      </c>
      <c r="C14" s="186">
        <v>180.379506320883</v>
      </c>
      <c r="D14" s="186">
        <v>245.15961250894</v>
      </c>
      <c r="E14" s="187">
        <v>214.05128038757701</v>
      </c>
    </row>
    <row r="15" spans="1:23" x14ac:dyDescent="0.3">
      <c r="B15" s="185" t="s">
        <v>11</v>
      </c>
      <c r="C15" s="186">
        <v>113.98586132282</v>
      </c>
      <c r="D15" s="186">
        <v>123.999017589395</v>
      </c>
      <c r="E15" s="187">
        <v>119.135426104069</v>
      </c>
    </row>
    <row r="16" spans="1:23" x14ac:dyDescent="0.3">
      <c r="B16" s="185" t="s">
        <v>12</v>
      </c>
      <c r="C16" s="186">
        <v>121.17505504962701</v>
      </c>
      <c r="D16" s="186">
        <v>138.00121454249901</v>
      </c>
      <c r="E16" s="187">
        <v>129.92491817090399</v>
      </c>
    </row>
    <row r="17" spans="1:26" x14ac:dyDescent="0.3">
      <c r="B17" s="185" t="s">
        <v>13</v>
      </c>
      <c r="C17" s="186" t="s">
        <v>215</v>
      </c>
      <c r="D17" s="186" t="s">
        <v>215</v>
      </c>
      <c r="E17" s="187" t="s">
        <v>215</v>
      </c>
    </row>
    <row r="18" spans="1:26" x14ac:dyDescent="0.3">
      <c r="B18" s="185" t="s">
        <v>14</v>
      </c>
      <c r="C18" s="186">
        <v>4.9667945749785698</v>
      </c>
      <c r="D18" s="186">
        <v>7.3011409974601298</v>
      </c>
      <c r="E18" s="187">
        <v>6.1520017667287101</v>
      </c>
    </row>
    <row r="19" spans="1:26" x14ac:dyDescent="0.3">
      <c r="B19" s="185" t="s">
        <v>15</v>
      </c>
      <c r="C19" s="186">
        <v>157.208679063787</v>
      </c>
      <c r="D19" s="186">
        <v>147.05773565904701</v>
      </c>
      <c r="E19" s="187">
        <v>151.98799578147899</v>
      </c>
    </row>
    <row r="20" spans="1:26" x14ac:dyDescent="0.3">
      <c r="B20" s="185" t="s">
        <v>16</v>
      </c>
      <c r="C20" s="186">
        <v>177.28627148174499</v>
      </c>
      <c r="D20" s="186">
        <v>174.57365022998701</v>
      </c>
      <c r="E20" s="187">
        <v>175.884671279656</v>
      </c>
    </row>
    <row r="21" spans="1:26" x14ac:dyDescent="0.3">
      <c r="B21" s="185" t="s">
        <v>17</v>
      </c>
      <c r="C21" s="186">
        <v>165.50174847419899</v>
      </c>
      <c r="D21" s="186">
        <v>166.08683521937101</v>
      </c>
      <c r="E21" s="187">
        <v>165.79973992197699</v>
      </c>
    </row>
    <row r="22" spans="1:26" x14ac:dyDescent="0.3">
      <c r="B22" s="185" t="s">
        <v>18</v>
      </c>
      <c r="C22" s="186">
        <v>177.73626333316699</v>
      </c>
      <c r="D22" s="186">
        <v>204.40427035673099</v>
      </c>
      <c r="E22" s="187">
        <v>191.436936397479</v>
      </c>
    </row>
    <row r="23" spans="1:26" x14ac:dyDescent="0.3">
      <c r="B23" s="185" t="s">
        <v>19</v>
      </c>
      <c r="C23" s="186">
        <v>185.33792758360499</v>
      </c>
      <c r="D23" s="186">
        <v>173.709602777073</v>
      </c>
      <c r="E23" s="187">
        <v>179.32647503990199</v>
      </c>
    </row>
    <row r="24" spans="1:26" ht="14.5" thickBot="1" x14ac:dyDescent="0.35">
      <c r="B24" s="188" t="s">
        <v>20</v>
      </c>
      <c r="C24" s="189">
        <v>144.41523376438801</v>
      </c>
      <c r="D24" s="189">
        <v>180.95595010327099</v>
      </c>
      <c r="E24" s="190">
        <v>163.13708279134801</v>
      </c>
    </row>
    <row r="25" spans="1:26" ht="14.5" thickBot="1" x14ac:dyDescent="0.35">
      <c r="B25" s="4" t="s">
        <v>1</v>
      </c>
      <c r="C25" s="189">
        <v>161.511032184518</v>
      </c>
      <c r="D25" s="189">
        <v>181.70685015798099</v>
      </c>
      <c r="E25" s="190">
        <v>171.906353127882</v>
      </c>
    </row>
    <row r="28" spans="1:26" s="88" customFormat="1" ht="39" customHeight="1" x14ac:dyDescent="0.3">
      <c r="A28" s="478" t="s">
        <v>229</v>
      </c>
      <c r="B28" s="479"/>
      <c r="C28" s="479"/>
      <c r="D28" s="479"/>
      <c r="E28" s="479"/>
      <c r="F28" s="479"/>
      <c r="G28" s="479"/>
      <c r="H28" s="479"/>
      <c r="I28" s="479"/>
      <c r="J28" s="479"/>
      <c r="K28" s="479"/>
    </row>
    <row r="29" spans="1:26" ht="14.5" thickBot="1" x14ac:dyDescent="0.35"/>
    <row r="30" spans="1:26" x14ac:dyDescent="0.3">
      <c r="B30" s="565" t="s">
        <v>2</v>
      </c>
      <c r="C30" s="567" t="s">
        <v>25</v>
      </c>
      <c r="D30" s="567" t="s">
        <v>25</v>
      </c>
      <c r="E30" s="567" t="s">
        <v>25</v>
      </c>
      <c r="F30" s="567" t="s">
        <v>25</v>
      </c>
      <c r="G30" s="567" t="s">
        <v>25</v>
      </c>
      <c r="H30" s="567" t="s">
        <v>25</v>
      </c>
      <c r="I30" s="567" t="s">
        <v>25</v>
      </c>
      <c r="J30" s="567" t="s">
        <v>25</v>
      </c>
      <c r="K30" s="567" t="s">
        <v>26</v>
      </c>
      <c r="L30" s="567" t="s">
        <v>26</v>
      </c>
      <c r="M30" s="567" t="s">
        <v>26</v>
      </c>
      <c r="N30" s="567" t="s">
        <v>26</v>
      </c>
      <c r="O30" s="567" t="s">
        <v>26</v>
      </c>
      <c r="P30" s="567" t="s">
        <v>26</v>
      </c>
      <c r="Q30" s="567" t="s">
        <v>26</v>
      </c>
      <c r="R30" s="567" t="s">
        <v>26</v>
      </c>
      <c r="S30" s="567" t="s">
        <v>0</v>
      </c>
      <c r="T30" s="567" t="s">
        <v>26</v>
      </c>
      <c r="U30" s="567" t="s">
        <v>26</v>
      </c>
      <c r="V30" s="567" t="s">
        <v>26</v>
      </c>
      <c r="W30" s="567" t="s">
        <v>26</v>
      </c>
      <c r="X30" s="567" t="s">
        <v>26</v>
      </c>
      <c r="Y30" s="567" t="s">
        <v>26</v>
      </c>
      <c r="Z30" s="568" t="s">
        <v>26</v>
      </c>
    </row>
    <row r="31" spans="1:26" ht="14.25" customHeight="1" x14ac:dyDescent="0.3">
      <c r="B31" s="566"/>
      <c r="C31" s="569" t="s">
        <v>27</v>
      </c>
      <c r="D31" s="569" t="s">
        <v>27</v>
      </c>
      <c r="E31" s="569" t="s">
        <v>27</v>
      </c>
      <c r="F31" s="569" t="s">
        <v>27</v>
      </c>
      <c r="G31" s="569" t="s">
        <v>27</v>
      </c>
      <c r="H31" s="569" t="s">
        <v>27</v>
      </c>
      <c r="I31" s="569" t="s">
        <v>27</v>
      </c>
      <c r="J31" s="569" t="s">
        <v>0</v>
      </c>
      <c r="K31" s="569" t="s">
        <v>27</v>
      </c>
      <c r="L31" s="569" t="s">
        <v>27</v>
      </c>
      <c r="M31" s="569" t="s">
        <v>27</v>
      </c>
      <c r="N31" s="569" t="s">
        <v>27</v>
      </c>
      <c r="O31" s="569" t="s">
        <v>27</v>
      </c>
      <c r="P31" s="569" t="s">
        <v>27</v>
      </c>
      <c r="Q31" s="569" t="s">
        <v>27</v>
      </c>
      <c r="R31" s="569" t="s">
        <v>0</v>
      </c>
      <c r="S31" s="569" t="s">
        <v>27</v>
      </c>
      <c r="T31" s="569" t="s">
        <v>27</v>
      </c>
      <c r="U31" s="569" t="s">
        <v>27</v>
      </c>
      <c r="V31" s="569" t="s">
        <v>27</v>
      </c>
      <c r="W31" s="569" t="s">
        <v>27</v>
      </c>
      <c r="X31" s="569" t="s">
        <v>27</v>
      </c>
      <c r="Y31" s="569" t="s">
        <v>27</v>
      </c>
      <c r="Z31" s="570" t="s">
        <v>0</v>
      </c>
    </row>
    <row r="32" spans="1:26" x14ac:dyDescent="0.3">
      <c r="B32" s="566"/>
      <c r="C32" s="380" t="s">
        <v>28</v>
      </c>
      <c r="D32" s="380" t="s">
        <v>29</v>
      </c>
      <c r="E32" s="380" t="s">
        <v>30</v>
      </c>
      <c r="F32" s="380" t="s">
        <v>31</v>
      </c>
      <c r="G32" s="380" t="s">
        <v>32</v>
      </c>
      <c r="H32" s="380" t="s">
        <v>74</v>
      </c>
      <c r="I32" s="380" t="s">
        <v>75</v>
      </c>
      <c r="J32" s="569"/>
      <c r="K32" s="380" t="s">
        <v>28</v>
      </c>
      <c r="L32" s="380" t="s">
        <v>29</v>
      </c>
      <c r="M32" s="380" t="s">
        <v>30</v>
      </c>
      <c r="N32" s="380" t="s">
        <v>31</v>
      </c>
      <c r="O32" s="380" t="s">
        <v>32</v>
      </c>
      <c r="P32" s="380" t="s">
        <v>74</v>
      </c>
      <c r="Q32" s="380" t="s">
        <v>75</v>
      </c>
      <c r="R32" s="569"/>
      <c r="S32" s="380" t="s">
        <v>28</v>
      </c>
      <c r="T32" s="380" t="s">
        <v>29</v>
      </c>
      <c r="U32" s="380" t="s">
        <v>30</v>
      </c>
      <c r="V32" s="380" t="s">
        <v>31</v>
      </c>
      <c r="W32" s="380" t="s">
        <v>32</v>
      </c>
      <c r="X32" s="380" t="s">
        <v>74</v>
      </c>
      <c r="Y32" s="380" t="s">
        <v>75</v>
      </c>
      <c r="Z32" s="570"/>
    </row>
    <row r="33" spans="2:30" ht="14.25" customHeight="1" x14ac:dyDescent="0.3">
      <c r="B33" s="191" t="s">
        <v>3</v>
      </c>
      <c r="C33" s="192">
        <v>3311</v>
      </c>
      <c r="D33" s="192">
        <v>4814</v>
      </c>
      <c r="E33" s="192">
        <v>4730</v>
      </c>
      <c r="F33" s="192">
        <v>7050</v>
      </c>
      <c r="G33" s="192">
        <v>7388</v>
      </c>
      <c r="H33" s="192">
        <v>3807</v>
      </c>
      <c r="I33" s="192">
        <v>2124</v>
      </c>
      <c r="J33" s="193">
        <v>33224</v>
      </c>
      <c r="K33" s="192">
        <v>3887</v>
      </c>
      <c r="L33" s="192">
        <v>4305</v>
      </c>
      <c r="M33" s="192">
        <v>4680</v>
      </c>
      <c r="N33" s="192">
        <v>7995</v>
      </c>
      <c r="O33" s="192">
        <v>9767</v>
      </c>
      <c r="P33" s="192">
        <v>6122</v>
      </c>
      <c r="Q33" s="192">
        <v>4037</v>
      </c>
      <c r="R33" s="193">
        <v>40793</v>
      </c>
      <c r="S33" s="192">
        <v>7198</v>
      </c>
      <c r="T33" s="192">
        <v>9119</v>
      </c>
      <c r="U33" s="192">
        <v>9410</v>
      </c>
      <c r="V33" s="192">
        <v>15045</v>
      </c>
      <c r="W33" s="192">
        <v>17155</v>
      </c>
      <c r="X33" s="192">
        <v>9929</v>
      </c>
      <c r="Y33" s="192">
        <v>6161</v>
      </c>
      <c r="Z33" s="194">
        <v>74017</v>
      </c>
    </row>
    <row r="34" spans="2:30" ht="14.25" customHeight="1" x14ac:dyDescent="0.3">
      <c r="B34" s="191" t="s">
        <v>4</v>
      </c>
      <c r="C34" s="192">
        <v>116</v>
      </c>
      <c r="D34" s="192">
        <v>144</v>
      </c>
      <c r="E34" s="192">
        <v>103</v>
      </c>
      <c r="F34" s="192">
        <v>172</v>
      </c>
      <c r="G34" s="192">
        <v>200</v>
      </c>
      <c r="H34" s="192">
        <v>113</v>
      </c>
      <c r="I34" s="192">
        <v>51</v>
      </c>
      <c r="J34" s="193">
        <v>899</v>
      </c>
      <c r="K34" s="192">
        <v>156</v>
      </c>
      <c r="L34" s="192">
        <v>147</v>
      </c>
      <c r="M34" s="192">
        <v>117</v>
      </c>
      <c r="N34" s="192">
        <v>219</v>
      </c>
      <c r="O34" s="192">
        <v>261</v>
      </c>
      <c r="P34" s="192">
        <v>209</v>
      </c>
      <c r="Q34" s="192">
        <v>99</v>
      </c>
      <c r="R34" s="193">
        <v>1208</v>
      </c>
      <c r="S34" s="192">
        <v>272</v>
      </c>
      <c r="T34" s="192">
        <v>291</v>
      </c>
      <c r="U34" s="192">
        <v>220</v>
      </c>
      <c r="V34" s="192">
        <v>391</v>
      </c>
      <c r="W34" s="192">
        <v>461</v>
      </c>
      <c r="X34" s="192">
        <v>322</v>
      </c>
      <c r="Y34" s="192">
        <v>150</v>
      </c>
      <c r="Z34" s="194">
        <v>2107</v>
      </c>
    </row>
    <row r="35" spans="2:30" ht="14.25" customHeight="1" x14ac:dyDescent="0.3">
      <c r="B35" s="191" t="s">
        <v>5</v>
      </c>
      <c r="C35" s="192">
        <v>7022</v>
      </c>
      <c r="D35" s="192">
        <v>10721</v>
      </c>
      <c r="E35" s="192">
        <v>10280</v>
      </c>
      <c r="F35" s="192">
        <v>14908</v>
      </c>
      <c r="G35" s="192">
        <v>14963</v>
      </c>
      <c r="H35" s="192">
        <v>7034</v>
      </c>
      <c r="I35" s="192">
        <v>3235</v>
      </c>
      <c r="J35" s="193">
        <v>68163</v>
      </c>
      <c r="K35" s="192">
        <v>9215</v>
      </c>
      <c r="L35" s="192">
        <v>9610</v>
      </c>
      <c r="M35" s="192">
        <v>10188</v>
      </c>
      <c r="N35" s="192">
        <v>15976</v>
      </c>
      <c r="O35" s="192">
        <v>18596</v>
      </c>
      <c r="P35" s="192">
        <v>11053</v>
      </c>
      <c r="Q35" s="192">
        <v>6464</v>
      </c>
      <c r="R35" s="193">
        <v>81102</v>
      </c>
      <c r="S35" s="192">
        <v>16237</v>
      </c>
      <c r="T35" s="192">
        <v>20331</v>
      </c>
      <c r="U35" s="192">
        <v>20468</v>
      </c>
      <c r="V35" s="192">
        <v>30884</v>
      </c>
      <c r="W35" s="192">
        <v>33559</v>
      </c>
      <c r="X35" s="192">
        <v>18087</v>
      </c>
      <c r="Y35" s="192">
        <v>9699</v>
      </c>
      <c r="Z35" s="194">
        <v>149265</v>
      </c>
    </row>
    <row r="36" spans="2:30" ht="14.25" customHeight="1" x14ac:dyDescent="0.3">
      <c r="B36" s="191" t="s">
        <v>23</v>
      </c>
      <c r="C36" s="192">
        <v>610</v>
      </c>
      <c r="D36" s="192">
        <v>1078</v>
      </c>
      <c r="E36" s="192">
        <v>996</v>
      </c>
      <c r="F36" s="192">
        <v>1141</v>
      </c>
      <c r="G36" s="192">
        <v>1313</v>
      </c>
      <c r="H36" s="192">
        <v>683</v>
      </c>
      <c r="I36" s="192">
        <v>619</v>
      </c>
      <c r="J36" s="193">
        <v>6440</v>
      </c>
      <c r="K36" s="192">
        <v>647</v>
      </c>
      <c r="L36" s="192">
        <v>980</v>
      </c>
      <c r="M36" s="192">
        <v>1133</v>
      </c>
      <c r="N36" s="192">
        <v>1428</v>
      </c>
      <c r="O36" s="192">
        <v>1699</v>
      </c>
      <c r="P36" s="192">
        <v>1153</v>
      </c>
      <c r="Q36" s="192">
        <v>1075</v>
      </c>
      <c r="R36" s="193">
        <v>8115</v>
      </c>
      <c r="S36" s="192">
        <v>1257</v>
      </c>
      <c r="T36" s="192">
        <v>2058</v>
      </c>
      <c r="U36" s="192">
        <v>2129</v>
      </c>
      <c r="V36" s="192">
        <v>2569</v>
      </c>
      <c r="W36" s="192">
        <v>3012</v>
      </c>
      <c r="X36" s="192">
        <v>1836</v>
      </c>
      <c r="Y36" s="192">
        <v>1694</v>
      </c>
      <c r="Z36" s="194">
        <v>14555</v>
      </c>
    </row>
    <row r="37" spans="2:30" ht="14.25" customHeight="1" x14ac:dyDescent="0.3">
      <c r="B37" s="191" t="s">
        <v>24</v>
      </c>
      <c r="C37" s="192">
        <v>483</v>
      </c>
      <c r="D37" s="192">
        <v>788</v>
      </c>
      <c r="E37" s="192">
        <v>700</v>
      </c>
      <c r="F37" s="192">
        <v>945</v>
      </c>
      <c r="G37" s="192">
        <v>1064</v>
      </c>
      <c r="H37" s="192">
        <v>602</v>
      </c>
      <c r="I37" s="192">
        <v>530</v>
      </c>
      <c r="J37" s="193">
        <v>5112</v>
      </c>
      <c r="K37" s="192">
        <v>582</v>
      </c>
      <c r="L37" s="192">
        <v>757</v>
      </c>
      <c r="M37" s="192">
        <v>757</v>
      </c>
      <c r="N37" s="192">
        <v>1134</v>
      </c>
      <c r="O37" s="192">
        <v>1328</v>
      </c>
      <c r="P37" s="192">
        <v>999</v>
      </c>
      <c r="Q37" s="192">
        <v>1159</v>
      </c>
      <c r="R37" s="193">
        <v>6716</v>
      </c>
      <c r="S37" s="192">
        <v>1065</v>
      </c>
      <c r="T37" s="192">
        <v>1545</v>
      </c>
      <c r="U37" s="192">
        <v>1457</v>
      </c>
      <c r="V37" s="192">
        <v>2079</v>
      </c>
      <c r="W37" s="192">
        <v>2392</v>
      </c>
      <c r="X37" s="192">
        <v>1601</v>
      </c>
      <c r="Y37" s="192">
        <v>1689</v>
      </c>
      <c r="Z37" s="194">
        <v>11828</v>
      </c>
    </row>
    <row r="38" spans="2:30" ht="14.25" customHeight="1" x14ac:dyDescent="0.3">
      <c r="B38" s="191" t="s">
        <v>6</v>
      </c>
      <c r="C38" s="192">
        <v>2528</v>
      </c>
      <c r="D38" s="192">
        <v>3937</v>
      </c>
      <c r="E38" s="192">
        <v>3830</v>
      </c>
      <c r="F38" s="192">
        <v>5845</v>
      </c>
      <c r="G38" s="192">
        <v>6368</v>
      </c>
      <c r="H38" s="192">
        <v>3402</v>
      </c>
      <c r="I38" s="192">
        <v>1934</v>
      </c>
      <c r="J38" s="193">
        <v>27844</v>
      </c>
      <c r="K38" s="192">
        <v>3757</v>
      </c>
      <c r="L38" s="192">
        <v>3988</v>
      </c>
      <c r="M38" s="192">
        <v>4257</v>
      </c>
      <c r="N38" s="192">
        <v>6710</v>
      </c>
      <c r="O38" s="192">
        <v>8317</v>
      </c>
      <c r="P38" s="192">
        <v>5531</v>
      </c>
      <c r="Q38" s="192">
        <v>3760</v>
      </c>
      <c r="R38" s="193">
        <v>36320</v>
      </c>
      <c r="S38" s="192">
        <v>6285</v>
      </c>
      <c r="T38" s="192">
        <v>7925</v>
      </c>
      <c r="U38" s="192">
        <v>8087</v>
      </c>
      <c r="V38" s="192">
        <v>12555</v>
      </c>
      <c r="W38" s="192">
        <v>14685</v>
      </c>
      <c r="X38" s="192">
        <v>8933</v>
      </c>
      <c r="Y38" s="192">
        <v>5694</v>
      </c>
      <c r="Z38" s="194">
        <v>64164</v>
      </c>
    </row>
    <row r="39" spans="2:30" s="5" customFormat="1" ht="14.25" customHeight="1" x14ac:dyDescent="0.3">
      <c r="B39" s="191" t="s">
        <v>22</v>
      </c>
      <c r="C39" s="192">
        <v>456</v>
      </c>
      <c r="D39" s="192">
        <v>997</v>
      </c>
      <c r="E39" s="192">
        <v>1020</v>
      </c>
      <c r="F39" s="192">
        <v>1501</v>
      </c>
      <c r="G39" s="192">
        <v>1673</v>
      </c>
      <c r="H39" s="192">
        <v>874</v>
      </c>
      <c r="I39" s="192">
        <v>552</v>
      </c>
      <c r="J39" s="193">
        <v>7073</v>
      </c>
      <c r="K39" s="192">
        <v>767</v>
      </c>
      <c r="L39" s="192">
        <v>926</v>
      </c>
      <c r="M39" s="192">
        <v>1164</v>
      </c>
      <c r="N39" s="192">
        <v>1814</v>
      </c>
      <c r="O39" s="192">
        <v>2294</v>
      </c>
      <c r="P39" s="192">
        <v>1464</v>
      </c>
      <c r="Q39" s="192">
        <v>1123</v>
      </c>
      <c r="R39" s="193">
        <v>9552</v>
      </c>
      <c r="S39" s="192">
        <v>1223</v>
      </c>
      <c r="T39" s="192">
        <v>1923</v>
      </c>
      <c r="U39" s="192">
        <v>2184</v>
      </c>
      <c r="V39" s="192">
        <v>3315</v>
      </c>
      <c r="W39" s="192">
        <v>3967</v>
      </c>
      <c r="X39" s="192">
        <v>2338</v>
      </c>
      <c r="Y39" s="192">
        <v>1675</v>
      </c>
      <c r="Z39" s="194">
        <v>16625</v>
      </c>
      <c r="AB39"/>
      <c r="AC39"/>
      <c r="AD39"/>
    </row>
    <row r="40" spans="2:30" ht="14.25" customHeight="1" x14ac:dyDescent="0.3">
      <c r="B40" s="191" t="s">
        <v>7</v>
      </c>
      <c r="C40" s="192">
        <v>1428</v>
      </c>
      <c r="D40" s="192">
        <v>2187</v>
      </c>
      <c r="E40" s="192">
        <v>1947</v>
      </c>
      <c r="F40" s="192">
        <v>2993</v>
      </c>
      <c r="G40" s="192">
        <v>3805</v>
      </c>
      <c r="H40" s="192">
        <v>2233</v>
      </c>
      <c r="I40" s="192">
        <v>1422</v>
      </c>
      <c r="J40" s="193">
        <v>16015</v>
      </c>
      <c r="K40" s="192">
        <v>1838</v>
      </c>
      <c r="L40" s="192">
        <v>2042</v>
      </c>
      <c r="M40" s="192">
        <v>2157</v>
      </c>
      <c r="N40" s="192">
        <v>3716</v>
      </c>
      <c r="O40" s="192">
        <v>5231</v>
      </c>
      <c r="P40" s="192">
        <v>3357</v>
      </c>
      <c r="Q40" s="192">
        <v>2838</v>
      </c>
      <c r="R40" s="193">
        <v>21179</v>
      </c>
      <c r="S40" s="192">
        <v>3266</v>
      </c>
      <c r="T40" s="192">
        <v>4229</v>
      </c>
      <c r="U40" s="192">
        <v>4104</v>
      </c>
      <c r="V40" s="192">
        <v>6709</v>
      </c>
      <c r="W40" s="192">
        <v>9036</v>
      </c>
      <c r="X40" s="192">
        <v>5590</v>
      </c>
      <c r="Y40" s="192">
        <v>4260</v>
      </c>
      <c r="Z40" s="194">
        <v>37194</v>
      </c>
    </row>
    <row r="41" spans="2:30" ht="14.25" customHeight="1" x14ac:dyDescent="0.3">
      <c r="B41" s="191" t="s">
        <v>8</v>
      </c>
      <c r="C41" s="192">
        <v>4234</v>
      </c>
      <c r="D41" s="192">
        <v>6244</v>
      </c>
      <c r="E41" s="192">
        <v>5536</v>
      </c>
      <c r="F41" s="192">
        <v>8097</v>
      </c>
      <c r="G41" s="192">
        <v>8501</v>
      </c>
      <c r="H41" s="192">
        <v>4427</v>
      </c>
      <c r="I41" s="192">
        <v>2429</v>
      </c>
      <c r="J41" s="193">
        <v>39468</v>
      </c>
      <c r="K41" s="192">
        <v>5456</v>
      </c>
      <c r="L41" s="192">
        <v>5828</v>
      </c>
      <c r="M41" s="192">
        <v>5915</v>
      </c>
      <c r="N41" s="192">
        <v>9945</v>
      </c>
      <c r="O41" s="192">
        <v>11687</v>
      </c>
      <c r="P41" s="192">
        <v>6943</v>
      </c>
      <c r="Q41" s="192">
        <v>4661</v>
      </c>
      <c r="R41" s="193">
        <v>50435</v>
      </c>
      <c r="S41" s="192">
        <v>9690</v>
      </c>
      <c r="T41" s="192">
        <v>12072</v>
      </c>
      <c r="U41" s="192">
        <v>11451</v>
      </c>
      <c r="V41" s="192">
        <v>18042</v>
      </c>
      <c r="W41" s="192">
        <v>20188</v>
      </c>
      <c r="X41" s="192">
        <v>11370</v>
      </c>
      <c r="Y41" s="192">
        <v>7090</v>
      </c>
      <c r="Z41" s="194">
        <v>89903</v>
      </c>
    </row>
    <row r="42" spans="2:30" ht="14.25" customHeight="1" x14ac:dyDescent="0.3">
      <c r="B42" s="191" t="s">
        <v>9</v>
      </c>
      <c r="C42" s="192">
        <v>2063</v>
      </c>
      <c r="D42" s="192">
        <v>2405</v>
      </c>
      <c r="E42" s="192">
        <v>2332</v>
      </c>
      <c r="F42" s="192">
        <v>3502</v>
      </c>
      <c r="G42" s="192">
        <v>3604</v>
      </c>
      <c r="H42" s="192">
        <v>1878</v>
      </c>
      <c r="I42" s="192">
        <v>1091</v>
      </c>
      <c r="J42" s="193">
        <v>16875</v>
      </c>
      <c r="K42" s="192">
        <v>2761</v>
      </c>
      <c r="L42" s="192">
        <v>2264</v>
      </c>
      <c r="M42" s="192">
        <v>2469</v>
      </c>
      <c r="N42" s="192">
        <v>4239</v>
      </c>
      <c r="O42" s="192">
        <v>4963</v>
      </c>
      <c r="P42" s="192">
        <v>3094</v>
      </c>
      <c r="Q42" s="192">
        <v>2131</v>
      </c>
      <c r="R42" s="193">
        <v>21921</v>
      </c>
      <c r="S42" s="192">
        <v>4824</v>
      </c>
      <c r="T42" s="192">
        <v>4669</v>
      </c>
      <c r="U42" s="192">
        <v>4801</v>
      </c>
      <c r="V42" s="192">
        <v>7741</v>
      </c>
      <c r="W42" s="192">
        <v>8567</v>
      </c>
      <c r="X42" s="192">
        <v>4972</v>
      </c>
      <c r="Y42" s="192">
        <v>3222</v>
      </c>
      <c r="Z42" s="194">
        <v>38796</v>
      </c>
    </row>
    <row r="43" spans="2:30" ht="14.25" customHeight="1" x14ac:dyDescent="0.3">
      <c r="B43" s="191" t="s">
        <v>10</v>
      </c>
      <c r="C43" s="192">
        <v>577</v>
      </c>
      <c r="D43" s="192">
        <v>890</v>
      </c>
      <c r="E43" s="192">
        <v>867</v>
      </c>
      <c r="F43" s="192">
        <v>1435</v>
      </c>
      <c r="G43" s="192">
        <v>1532</v>
      </c>
      <c r="H43" s="192">
        <v>816</v>
      </c>
      <c r="I43" s="192">
        <v>291</v>
      </c>
      <c r="J43" s="193">
        <v>6408</v>
      </c>
      <c r="K43" s="192">
        <v>882</v>
      </c>
      <c r="L43" s="192">
        <v>918</v>
      </c>
      <c r="M43" s="192">
        <v>1098</v>
      </c>
      <c r="N43" s="192">
        <v>1976</v>
      </c>
      <c r="O43" s="192">
        <v>2482</v>
      </c>
      <c r="P43" s="192">
        <v>1458</v>
      </c>
      <c r="Q43" s="192">
        <v>613</v>
      </c>
      <c r="R43" s="193">
        <v>9427</v>
      </c>
      <c r="S43" s="192">
        <v>1459</v>
      </c>
      <c r="T43" s="192">
        <v>1808</v>
      </c>
      <c r="U43" s="192">
        <v>1965</v>
      </c>
      <c r="V43" s="192">
        <v>3411</v>
      </c>
      <c r="W43" s="192">
        <v>4014</v>
      </c>
      <c r="X43" s="192">
        <v>2274</v>
      </c>
      <c r="Y43" s="192">
        <v>904</v>
      </c>
      <c r="Z43" s="194">
        <v>15835</v>
      </c>
    </row>
    <row r="44" spans="2:30" ht="14.25" customHeight="1" x14ac:dyDescent="0.3">
      <c r="B44" s="191" t="s">
        <v>11</v>
      </c>
      <c r="C44" s="192">
        <v>427</v>
      </c>
      <c r="D44" s="192">
        <v>853</v>
      </c>
      <c r="E44" s="192">
        <v>1040</v>
      </c>
      <c r="F44" s="192">
        <v>1652</v>
      </c>
      <c r="G44" s="192">
        <v>1756</v>
      </c>
      <c r="H44" s="192">
        <v>907</v>
      </c>
      <c r="I44" s="192">
        <v>466</v>
      </c>
      <c r="J44" s="193">
        <v>7101</v>
      </c>
      <c r="K44" s="192">
        <v>620</v>
      </c>
      <c r="L44" s="192">
        <v>773</v>
      </c>
      <c r="M44" s="192">
        <v>989</v>
      </c>
      <c r="N44" s="192">
        <v>1666</v>
      </c>
      <c r="O44" s="192">
        <v>2098</v>
      </c>
      <c r="P44" s="192">
        <v>1232</v>
      </c>
      <c r="Q44" s="192">
        <v>801</v>
      </c>
      <c r="R44" s="193">
        <v>8179</v>
      </c>
      <c r="S44" s="192">
        <v>1047</v>
      </c>
      <c r="T44" s="192">
        <v>1626</v>
      </c>
      <c r="U44" s="192">
        <v>2029</v>
      </c>
      <c r="V44" s="192">
        <v>3318</v>
      </c>
      <c r="W44" s="192">
        <v>3854</v>
      </c>
      <c r="X44" s="192">
        <v>2139</v>
      </c>
      <c r="Y44" s="192">
        <v>1267</v>
      </c>
      <c r="Z44" s="194">
        <v>15280</v>
      </c>
    </row>
    <row r="45" spans="2:30" ht="14.25" customHeight="1" x14ac:dyDescent="0.3">
      <c r="B45" s="191" t="s">
        <v>12</v>
      </c>
      <c r="C45" s="192">
        <v>2572</v>
      </c>
      <c r="D45" s="192">
        <v>4157</v>
      </c>
      <c r="E45" s="192">
        <v>4406</v>
      </c>
      <c r="F45" s="192">
        <v>6646</v>
      </c>
      <c r="G45" s="192">
        <v>6602</v>
      </c>
      <c r="H45" s="192">
        <v>3050</v>
      </c>
      <c r="I45" s="192">
        <v>1078</v>
      </c>
      <c r="J45" s="193">
        <v>28511</v>
      </c>
      <c r="K45" s="192">
        <v>3568</v>
      </c>
      <c r="L45" s="192">
        <v>3516</v>
      </c>
      <c r="M45" s="192">
        <v>4248</v>
      </c>
      <c r="N45" s="192">
        <v>7453</v>
      </c>
      <c r="O45" s="192">
        <v>9280</v>
      </c>
      <c r="P45" s="192">
        <v>5038</v>
      </c>
      <c r="Q45" s="192">
        <v>2075</v>
      </c>
      <c r="R45" s="193">
        <v>35178</v>
      </c>
      <c r="S45" s="192">
        <v>6140</v>
      </c>
      <c r="T45" s="192">
        <v>7673</v>
      </c>
      <c r="U45" s="192">
        <v>8654</v>
      </c>
      <c r="V45" s="192">
        <v>14099</v>
      </c>
      <c r="W45" s="192">
        <v>15882</v>
      </c>
      <c r="X45" s="192">
        <v>8088</v>
      </c>
      <c r="Y45" s="192">
        <v>3153</v>
      </c>
      <c r="Z45" s="194">
        <v>63689</v>
      </c>
    </row>
    <row r="46" spans="2:30" ht="14.25" customHeight="1" x14ac:dyDescent="0.3">
      <c r="B46" s="191" t="s">
        <v>13</v>
      </c>
      <c r="C46" s="192" t="s">
        <v>215</v>
      </c>
      <c r="D46" s="192" t="s">
        <v>215</v>
      </c>
      <c r="E46" s="192" t="s">
        <v>215</v>
      </c>
      <c r="F46" s="192" t="s">
        <v>215</v>
      </c>
      <c r="G46" s="192" t="s">
        <v>215</v>
      </c>
      <c r="H46" s="192" t="s">
        <v>215</v>
      </c>
      <c r="I46" s="192" t="s">
        <v>215</v>
      </c>
      <c r="J46" s="193" t="s">
        <v>215</v>
      </c>
      <c r="K46" s="192" t="s">
        <v>215</v>
      </c>
      <c r="L46" s="192" t="s">
        <v>215</v>
      </c>
      <c r="M46" s="192" t="s">
        <v>215</v>
      </c>
      <c r="N46" s="192" t="s">
        <v>215</v>
      </c>
      <c r="O46" s="192" t="s">
        <v>215</v>
      </c>
      <c r="P46" s="192" t="s">
        <v>215</v>
      </c>
      <c r="Q46" s="192" t="s">
        <v>215</v>
      </c>
      <c r="R46" s="193" t="s">
        <v>215</v>
      </c>
      <c r="S46" s="192" t="s">
        <v>215</v>
      </c>
      <c r="T46" s="192" t="s">
        <v>215</v>
      </c>
      <c r="U46" s="192" t="s">
        <v>215</v>
      </c>
      <c r="V46" s="192" t="s">
        <v>215</v>
      </c>
      <c r="W46" s="192" t="s">
        <v>215</v>
      </c>
      <c r="X46" s="192" t="s">
        <v>215</v>
      </c>
      <c r="Y46" s="192" t="s">
        <v>215</v>
      </c>
      <c r="Z46" s="194" t="s">
        <v>215</v>
      </c>
    </row>
    <row r="47" spans="2:30" ht="14.25" customHeight="1" x14ac:dyDescent="0.3">
      <c r="B47" s="191" t="s">
        <v>14</v>
      </c>
      <c r="C47" s="192">
        <v>12</v>
      </c>
      <c r="D47" s="192">
        <v>12</v>
      </c>
      <c r="E47" s="192">
        <v>13</v>
      </c>
      <c r="F47" s="192">
        <v>17</v>
      </c>
      <c r="G47" s="192">
        <v>6</v>
      </c>
      <c r="H47" s="192">
        <v>1</v>
      </c>
      <c r="I47" s="192">
        <v>1</v>
      </c>
      <c r="J47" s="193">
        <v>62</v>
      </c>
      <c r="K47" s="192">
        <v>7</v>
      </c>
      <c r="L47" s="192">
        <v>17</v>
      </c>
      <c r="M47" s="192">
        <v>10</v>
      </c>
      <c r="N47" s="192">
        <v>24</v>
      </c>
      <c r="O47" s="192">
        <v>23</v>
      </c>
      <c r="P47" s="192">
        <v>6</v>
      </c>
      <c r="Q47" s="192">
        <v>7</v>
      </c>
      <c r="R47" s="193">
        <v>94</v>
      </c>
      <c r="S47" s="192">
        <v>19</v>
      </c>
      <c r="T47" s="192">
        <v>29</v>
      </c>
      <c r="U47" s="192">
        <v>23</v>
      </c>
      <c r="V47" s="192">
        <v>41</v>
      </c>
      <c r="W47" s="192">
        <v>29</v>
      </c>
      <c r="X47" s="192">
        <v>7</v>
      </c>
      <c r="Y47" s="192">
        <v>8</v>
      </c>
      <c r="Z47" s="194">
        <v>156</v>
      </c>
    </row>
    <row r="48" spans="2:30" ht="14.25" customHeight="1" x14ac:dyDescent="0.3">
      <c r="B48" s="191" t="s">
        <v>15</v>
      </c>
      <c r="C48" s="192">
        <v>2163</v>
      </c>
      <c r="D48" s="192">
        <v>3608</v>
      </c>
      <c r="E48" s="192">
        <v>4766</v>
      </c>
      <c r="F48" s="192">
        <v>7490</v>
      </c>
      <c r="G48" s="192">
        <v>7990</v>
      </c>
      <c r="H48" s="192">
        <v>3052</v>
      </c>
      <c r="I48" s="192">
        <v>1035</v>
      </c>
      <c r="J48" s="193">
        <v>30104</v>
      </c>
      <c r="K48" s="192">
        <v>1840</v>
      </c>
      <c r="L48" s="192">
        <v>2513</v>
      </c>
      <c r="M48" s="192">
        <v>3558</v>
      </c>
      <c r="N48" s="192">
        <v>6930</v>
      </c>
      <c r="O48" s="192">
        <v>9211</v>
      </c>
      <c r="P48" s="192">
        <v>4058</v>
      </c>
      <c r="Q48" s="192">
        <v>1709</v>
      </c>
      <c r="R48" s="193">
        <v>29819</v>
      </c>
      <c r="S48" s="192">
        <v>4003</v>
      </c>
      <c r="T48" s="192">
        <v>6121</v>
      </c>
      <c r="U48" s="192">
        <v>8324</v>
      </c>
      <c r="V48" s="192">
        <v>14420</v>
      </c>
      <c r="W48" s="192">
        <v>17201</v>
      </c>
      <c r="X48" s="192">
        <v>7110</v>
      </c>
      <c r="Y48" s="192">
        <v>2744</v>
      </c>
      <c r="Z48" s="194">
        <v>59923</v>
      </c>
    </row>
    <row r="49" spans="1:30" ht="14.25" customHeight="1" x14ac:dyDescent="0.3">
      <c r="B49" s="191" t="s">
        <v>16</v>
      </c>
      <c r="C49" s="192">
        <v>1754</v>
      </c>
      <c r="D49" s="192">
        <v>3370</v>
      </c>
      <c r="E49" s="192">
        <v>4164</v>
      </c>
      <c r="F49" s="192">
        <v>6574</v>
      </c>
      <c r="G49" s="192">
        <v>7137</v>
      </c>
      <c r="H49" s="192">
        <v>3604</v>
      </c>
      <c r="I49" s="192">
        <v>2051</v>
      </c>
      <c r="J49" s="193">
        <v>28654</v>
      </c>
      <c r="K49" s="192">
        <v>2027</v>
      </c>
      <c r="L49" s="192">
        <v>2608</v>
      </c>
      <c r="M49" s="192">
        <v>3551</v>
      </c>
      <c r="N49" s="192">
        <v>6517</v>
      </c>
      <c r="O49" s="192">
        <v>8430</v>
      </c>
      <c r="P49" s="192">
        <v>4601</v>
      </c>
      <c r="Q49" s="192">
        <v>2431</v>
      </c>
      <c r="R49" s="193">
        <v>30165</v>
      </c>
      <c r="S49" s="192">
        <v>3781</v>
      </c>
      <c r="T49" s="192">
        <v>5978</v>
      </c>
      <c r="U49" s="192">
        <v>7715</v>
      </c>
      <c r="V49" s="192">
        <v>13091</v>
      </c>
      <c r="W49" s="192">
        <v>15567</v>
      </c>
      <c r="X49" s="192">
        <v>8205</v>
      </c>
      <c r="Y49" s="192">
        <v>4482</v>
      </c>
      <c r="Z49" s="194">
        <v>58819</v>
      </c>
    </row>
    <row r="50" spans="1:30" ht="14.25" customHeight="1" x14ac:dyDescent="0.3">
      <c r="B50" s="191" t="s">
        <v>17</v>
      </c>
      <c r="C50" s="192">
        <v>294</v>
      </c>
      <c r="D50" s="192">
        <v>383</v>
      </c>
      <c r="E50" s="192">
        <v>532</v>
      </c>
      <c r="F50" s="192">
        <v>801</v>
      </c>
      <c r="G50" s="192">
        <v>889</v>
      </c>
      <c r="H50" s="192">
        <v>535</v>
      </c>
      <c r="I50" s="192">
        <v>338</v>
      </c>
      <c r="J50" s="193">
        <v>3772</v>
      </c>
      <c r="K50" s="192">
        <v>229</v>
      </c>
      <c r="L50" s="192">
        <v>287</v>
      </c>
      <c r="M50" s="192">
        <v>434</v>
      </c>
      <c r="N50" s="192">
        <v>755</v>
      </c>
      <c r="O50" s="192">
        <v>1025</v>
      </c>
      <c r="P50" s="192">
        <v>694</v>
      </c>
      <c r="Q50" s="192">
        <v>505</v>
      </c>
      <c r="R50" s="193">
        <v>3929</v>
      </c>
      <c r="S50" s="192">
        <v>523</v>
      </c>
      <c r="T50" s="192">
        <v>670</v>
      </c>
      <c r="U50" s="192">
        <v>966</v>
      </c>
      <c r="V50" s="192">
        <v>1556</v>
      </c>
      <c r="W50" s="192">
        <v>1914</v>
      </c>
      <c r="X50" s="192">
        <v>1229</v>
      </c>
      <c r="Y50" s="192">
        <v>843</v>
      </c>
      <c r="Z50" s="194">
        <v>7701</v>
      </c>
    </row>
    <row r="51" spans="1:30" ht="14.25" customHeight="1" x14ac:dyDescent="0.3">
      <c r="B51" s="191" t="s">
        <v>18</v>
      </c>
      <c r="C51" s="192">
        <v>774</v>
      </c>
      <c r="D51" s="192">
        <v>1201</v>
      </c>
      <c r="E51" s="192">
        <v>1869</v>
      </c>
      <c r="F51" s="192">
        <v>2970</v>
      </c>
      <c r="G51" s="192">
        <v>3614</v>
      </c>
      <c r="H51" s="192">
        <v>1864</v>
      </c>
      <c r="I51" s="192">
        <v>1275</v>
      </c>
      <c r="J51" s="193">
        <v>13567</v>
      </c>
      <c r="K51" s="192">
        <v>749</v>
      </c>
      <c r="L51" s="192">
        <v>1032</v>
      </c>
      <c r="M51" s="192">
        <v>1721</v>
      </c>
      <c r="N51" s="192">
        <v>3278</v>
      </c>
      <c r="O51" s="192">
        <v>4797</v>
      </c>
      <c r="P51" s="192">
        <v>2612</v>
      </c>
      <c r="Q51" s="192">
        <v>2296</v>
      </c>
      <c r="R51" s="193">
        <v>16485</v>
      </c>
      <c r="S51" s="192">
        <v>1523</v>
      </c>
      <c r="T51" s="192">
        <v>2233</v>
      </c>
      <c r="U51" s="192">
        <v>3590</v>
      </c>
      <c r="V51" s="192">
        <v>6248</v>
      </c>
      <c r="W51" s="192">
        <v>8411</v>
      </c>
      <c r="X51" s="192">
        <v>4476</v>
      </c>
      <c r="Y51" s="192">
        <v>3571</v>
      </c>
      <c r="Z51" s="194">
        <v>30052</v>
      </c>
    </row>
    <row r="52" spans="1:30" ht="14.25" customHeight="1" x14ac:dyDescent="0.3">
      <c r="B52" s="191" t="s">
        <v>19</v>
      </c>
      <c r="C52" s="192">
        <v>2505</v>
      </c>
      <c r="D52" s="192">
        <v>4561</v>
      </c>
      <c r="E52" s="192">
        <v>5664</v>
      </c>
      <c r="F52" s="192">
        <v>7604</v>
      </c>
      <c r="G52" s="192">
        <v>7927</v>
      </c>
      <c r="H52" s="192">
        <v>4311</v>
      </c>
      <c r="I52" s="192">
        <v>3875</v>
      </c>
      <c r="J52" s="193">
        <v>36447</v>
      </c>
      <c r="K52" s="192">
        <v>1831</v>
      </c>
      <c r="L52" s="192">
        <v>2827</v>
      </c>
      <c r="M52" s="192">
        <v>3840</v>
      </c>
      <c r="N52" s="192">
        <v>6563</v>
      </c>
      <c r="O52" s="192">
        <v>8844</v>
      </c>
      <c r="P52" s="192">
        <v>5716</v>
      </c>
      <c r="Q52" s="192">
        <v>6939</v>
      </c>
      <c r="R52" s="193">
        <v>36560</v>
      </c>
      <c r="S52" s="192">
        <v>4336</v>
      </c>
      <c r="T52" s="192">
        <v>7388</v>
      </c>
      <c r="U52" s="192">
        <v>9504</v>
      </c>
      <c r="V52" s="192">
        <v>14167</v>
      </c>
      <c r="W52" s="192">
        <v>16771</v>
      </c>
      <c r="X52" s="192">
        <v>10027</v>
      </c>
      <c r="Y52" s="192">
        <v>10814</v>
      </c>
      <c r="Z52" s="194">
        <v>73007</v>
      </c>
    </row>
    <row r="53" spans="1:30" ht="14.25" customHeight="1" x14ac:dyDescent="0.3">
      <c r="B53" s="191" t="s">
        <v>20</v>
      </c>
      <c r="C53" s="192">
        <v>668</v>
      </c>
      <c r="D53" s="192">
        <v>1261</v>
      </c>
      <c r="E53" s="192">
        <v>1385</v>
      </c>
      <c r="F53" s="192">
        <v>2344</v>
      </c>
      <c r="G53" s="192">
        <v>2385</v>
      </c>
      <c r="H53" s="192">
        <v>1268</v>
      </c>
      <c r="I53" s="192">
        <v>445</v>
      </c>
      <c r="J53" s="193">
        <v>9756</v>
      </c>
      <c r="K53" s="192">
        <v>722</v>
      </c>
      <c r="L53" s="192">
        <v>930</v>
      </c>
      <c r="M53" s="192">
        <v>1409</v>
      </c>
      <c r="N53" s="192">
        <v>2555</v>
      </c>
      <c r="O53" s="192">
        <v>3654</v>
      </c>
      <c r="P53" s="192">
        <v>2438</v>
      </c>
      <c r="Q53" s="192">
        <v>1136</v>
      </c>
      <c r="R53" s="193">
        <v>12844</v>
      </c>
      <c r="S53" s="192">
        <v>1390</v>
      </c>
      <c r="T53" s="192">
        <v>2191</v>
      </c>
      <c r="U53" s="192">
        <v>2794</v>
      </c>
      <c r="V53" s="192">
        <v>4899</v>
      </c>
      <c r="W53" s="192">
        <v>6039</v>
      </c>
      <c r="X53" s="192">
        <v>3706</v>
      </c>
      <c r="Y53" s="192">
        <v>1581</v>
      </c>
      <c r="Z53" s="194">
        <v>22600</v>
      </c>
    </row>
    <row r="54" spans="1:30" ht="14.25" customHeight="1" thickBot="1" x14ac:dyDescent="0.35">
      <c r="B54" s="4" t="s">
        <v>1</v>
      </c>
      <c r="C54" s="195">
        <v>33997</v>
      </c>
      <c r="D54" s="195">
        <v>53611</v>
      </c>
      <c r="E54" s="195">
        <v>56180</v>
      </c>
      <c r="F54" s="195">
        <v>83687</v>
      </c>
      <c r="G54" s="195">
        <v>88717</v>
      </c>
      <c r="H54" s="195">
        <v>44461</v>
      </c>
      <c r="I54" s="195">
        <v>24842</v>
      </c>
      <c r="J54" s="195">
        <v>385495</v>
      </c>
      <c r="K54" s="195">
        <v>41541</v>
      </c>
      <c r="L54" s="195">
        <v>46268</v>
      </c>
      <c r="M54" s="195">
        <v>53695</v>
      </c>
      <c r="N54" s="195">
        <v>90893</v>
      </c>
      <c r="O54" s="195">
        <v>113987</v>
      </c>
      <c r="P54" s="195">
        <v>67778</v>
      </c>
      <c r="Q54" s="195">
        <v>45859</v>
      </c>
      <c r="R54" s="195">
        <v>460021</v>
      </c>
      <c r="S54" s="195">
        <v>75538</v>
      </c>
      <c r="T54" s="195">
        <v>99879</v>
      </c>
      <c r="U54" s="195">
        <v>109875</v>
      </c>
      <c r="V54" s="195">
        <v>174580</v>
      </c>
      <c r="W54" s="195">
        <v>202704</v>
      </c>
      <c r="X54" s="195">
        <v>112239</v>
      </c>
      <c r="Y54" s="195">
        <v>70701</v>
      </c>
      <c r="Z54" s="196">
        <v>845516</v>
      </c>
    </row>
    <row r="55" spans="1:30" x14ac:dyDescent="0.3">
      <c r="C55" s="9"/>
      <c r="I55" s="70"/>
      <c r="J55" s="70"/>
      <c r="K55" s="9"/>
      <c r="Q55" s="70"/>
      <c r="R55" s="54"/>
      <c r="S55" s="70"/>
      <c r="T55" s="70"/>
      <c r="U55" s="70"/>
      <c r="V55" s="70"/>
      <c r="W55" s="70"/>
      <c r="X55" s="70"/>
      <c r="Y55" s="70"/>
      <c r="Z55" s="70"/>
    </row>
    <row r="57" spans="1:30" s="88" customFormat="1" ht="36.75" customHeight="1" x14ac:dyDescent="0.3">
      <c r="A57" s="478" t="s">
        <v>230</v>
      </c>
      <c r="B57" s="479"/>
      <c r="C57" s="479"/>
      <c r="D57" s="479"/>
      <c r="E57" s="479"/>
      <c r="F57" s="479"/>
      <c r="G57" s="479"/>
      <c r="H57" s="479"/>
      <c r="I57" s="479"/>
      <c r="J57" s="479"/>
      <c r="K57" s="479"/>
      <c r="AB57"/>
      <c r="AC57"/>
      <c r="AD57"/>
    </row>
    <row r="58" spans="1:30" ht="14.5" thickBot="1" x14ac:dyDescent="0.35"/>
    <row r="59" spans="1:30" ht="84" thickBot="1" x14ac:dyDescent="0.35">
      <c r="B59" s="6" t="s">
        <v>2</v>
      </c>
      <c r="C59" s="7" t="s">
        <v>35</v>
      </c>
      <c r="D59" s="7" t="s">
        <v>36</v>
      </c>
      <c r="E59" s="7" t="s">
        <v>37</v>
      </c>
      <c r="F59" s="7" t="s">
        <v>177</v>
      </c>
      <c r="G59" s="7" t="s">
        <v>38</v>
      </c>
      <c r="H59" s="7" t="s">
        <v>39</v>
      </c>
      <c r="I59" s="7" t="s">
        <v>178</v>
      </c>
      <c r="J59" s="7" t="s">
        <v>40</v>
      </c>
      <c r="K59" s="7" t="s">
        <v>41</v>
      </c>
      <c r="L59" s="7" t="s">
        <v>42</v>
      </c>
      <c r="M59" s="7" t="s">
        <v>43</v>
      </c>
      <c r="N59" s="8" t="s">
        <v>44</v>
      </c>
      <c r="O59" s="8" t="s">
        <v>21</v>
      </c>
    </row>
    <row r="60" spans="1:30" x14ac:dyDescent="0.3">
      <c r="B60" s="551" t="s">
        <v>3</v>
      </c>
      <c r="C60" s="24" t="s">
        <v>25</v>
      </c>
      <c r="D60" s="129">
        <v>5.5873647177513002</v>
      </c>
      <c r="E60" s="130">
        <v>13.766863568086601</v>
      </c>
      <c r="F60" s="130">
        <v>2.8888579101800298</v>
      </c>
      <c r="G60" s="130">
        <v>4.1877242573927598</v>
      </c>
      <c r="H60" s="130">
        <v>22.8085409420028</v>
      </c>
      <c r="I60" s="130">
        <v>34.733477664257599</v>
      </c>
      <c r="J60" s="130">
        <v>16.000689742818899</v>
      </c>
      <c r="K60" s="130">
        <v>13.5821110273193</v>
      </c>
      <c r="L60" s="130">
        <v>8.7785449673687808</v>
      </c>
      <c r="M60" s="130">
        <v>43.304875843493299</v>
      </c>
      <c r="N60" s="131">
        <v>20.367567979137501</v>
      </c>
      <c r="O60" s="131">
        <v>186.00661861980899</v>
      </c>
    </row>
    <row r="61" spans="1:30" x14ac:dyDescent="0.3">
      <c r="B61" s="552"/>
      <c r="C61" s="25" t="s">
        <v>26</v>
      </c>
      <c r="D61" s="132">
        <v>1.75344000707695</v>
      </c>
      <c r="E61" s="132">
        <v>23.705666401983201</v>
      </c>
      <c r="F61" s="132">
        <v>2.5959337041709798</v>
      </c>
      <c r="G61" s="132">
        <v>4.7074335325128898</v>
      </c>
      <c r="H61" s="132">
        <v>42.756555127521999</v>
      </c>
      <c r="I61" s="132">
        <v>37.5752188903937</v>
      </c>
      <c r="J61" s="132">
        <v>18.4611431375729</v>
      </c>
      <c r="K61" s="132">
        <v>16.9288577259831</v>
      </c>
      <c r="L61" s="132">
        <v>6.3871553410941004</v>
      </c>
      <c r="M61" s="132">
        <v>31.014299224273898</v>
      </c>
      <c r="N61" s="131">
        <v>28.913330567145699</v>
      </c>
      <c r="O61" s="131">
        <v>214.79903365972899</v>
      </c>
    </row>
    <row r="62" spans="1:30" ht="14.5" thickBot="1" x14ac:dyDescent="0.35">
      <c r="B62" s="553"/>
      <c r="C62" s="26" t="s">
        <v>0</v>
      </c>
      <c r="D62" s="133">
        <v>3.6116492103621498</v>
      </c>
      <c r="E62" s="133">
        <v>18.888572617078101</v>
      </c>
      <c r="F62" s="134">
        <v>2.73790687697627</v>
      </c>
      <c r="G62" s="134">
        <v>4.4555432031665303</v>
      </c>
      <c r="H62" s="134">
        <v>33.0882422773524</v>
      </c>
      <c r="I62" s="134">
        <v>36.197896668843804</v>
      </c>
      <c r="J62" s="134">
        <v>17.268621769154599</v>
      </c>
      <c r="K62" s="134">
        <v>15.3067717472974</v>
      </c>
      <c r="L62" s="134">
        <v>7.5462031961060401</v>
      </c>
      <c r="M62" s="134">
        <v>36.971240038455498</v>
      </c>
      <c r="N62" s="135">
        <v>24.771409197142098</v>
      </c>
      <c r="O62" s="135">
        <v>200.84405680193501</v>
      </c>
    </row>
    <row r="63" spans="1:30" x14ac:dyDescent="0.3">
      <c r="B63" s="551" t="s">
        <v>4</v>
      </c>
      <c r="C63" s="24" t="s">
        <v>25</v>
      </c>
      <c r="D63" s="129">
        <v>6.9859504773732803</v>
      </c>
      <c r="E63" s="130">
        <v>18.629201272995399</v>
      </c>
      <c r="F63" s="130">
        <v>6.0156795777381102</v>
      </c>
      <c r="G63" s="130">
        <v>2.5227043390514599</v>
      </c>
      <c r="H63" s="130">
        <v>36.870294186136803</v>
      </c>
      <c r="I63" s="130">
        <v>0.194054179927036</v>
      </c>
      <c r="J63" s="130">
        <v>15.524334394162899</v>
      </c>
      <c r="K63" s="130">
        <v>9.8967631762788209</v>
      </c>
      <c r="L63" s="130">
        <v>5.8216253978110704</v>
      </c>
      <c r="M63" s="130">
        <v>42.885973763874901</v>
      </c>
      <c r="N63" s="131">
        <v>29.1081269890553</v>
      </c>
      <c r="O63" s="131">
        <v>174.45470775440501</v>
      </c>
    </row>
    <row r="64" spans="1:30" x14ac:dyDescent="0.3">
      <c r="B64" s="552"/>
      <c r="C64" s="25" t="s">
        <v>26</v>
      </c>
      <c r="D64" s="132">
        <v>1.28697762497472</v>
      </c>
      <c r="E64" s="132">
        <v>41.734845838465901</v>
      </c>
      <c r="F64" s="132">
        <v>5.3317644463238398</v>
      </c>
      <c r="G64" s="132">
        <v>3.1255170892243198</v>
      </c>
      <c r="H64" s="132">
        <v>59.752532588111997</v>
      </c>
      <c r="I64" s="132">
        <v>0.36770789284992</v>
      </c>
      <c r="J64" s="132">
        <v>18.936956481770899</v>
      </c>
      <c r="K64" s="132">
        <v>12.134360464047401</v>
      </c>
      <c r="L64" s="132">
        <v>3.8609328749241598</v>
      </c>
      <c r="M64" s="132">
        <v>31.8067327315181</v>
      </c>
      <c r="N64" s="131">
        <v>43.757239249140497</v>
      </c>
      <c r="O64" s="131">
        <v>222.095567281352</v>
      </c>
    </row>
    <row r="65" spans="2:15" ht="14.5" thickBot="1" x14ac:dyDescent="0.35">
      <c r="B65" s="557"/>
      <c r="C65" s="27" t="s">
        <v>0</v>
      </c>
      <c r="D65" s="133">
        <v>4.0595526939380502</v>
      </c>
      <c r="E65" s="133">
        <v>30.493849305627698</v>
      </c>
      <c r="F65" s="134">
        <v>5.6644921310763499</v>
      </c>
      <c r="G65" s="134">
        <v>2.83224606553817</v>
      </c>
      <c r="H65" s="134">
        <v>48.620224125071999</v>
      </c>
      <c r="I65" s="134">
        <v>0.28322460655381698</v>
      </c>
      <c r="J65" s="134">
        <v>17.2767009997829</v>
      </c>
      <c r="K65" s="134">
        <v>11.0457596555989</v>
      </c>
      <c r="L65" s="134">
        <v>4.8148183114148999</v>
      </c>
      <c r="M65" s="134">
        <v>37.196831660734702</v>
      </c>
      <c r="N65" s="135">
        <v>36.630382447627099</v>
      </c>
      <c r="O65" s="135">
        <v>198.91808200296401</v>
      </c>
    </row>
    <row r="66" spans="2:15" x14ac:dyDescent="0.3">
      <c r="B66" s="551" t="s">
        <v>5</v>
      </c>
      <c r="C66" s="24" t="s">
        <v>25</v>
      </c>
      <c r="D66" s="129">
        <v>8.0747742282116892</v>
      </c>
      <c r="E66" s="130">
        <v>3.5084822224535701</v>
      </c>
      <c r="F66" s="130">
        <v>8.0436621757615594</v>
      </c>
      <c r="G66" s="130">
        <v>3.0465879053092699</v>
      </c>
      <c r="H66" s="130">
        <v>35.328932174529001</v>
      </c>
      <c r="I66" s="130">
        <v>6.1051419846378296</v>
      </c>
      <c r="J66" s="130">
        <v>19.179383718105701</v>
      </c>
      <c r="K66" s="130">
        <v>11.183586238421199</v>
      </c>
      <c r="L66" s="130">
        <v>6.8278988954024804</v>
      </c>
      <c r="M66" s="130">
        <v>39.442902802358297</v>
      </c>
      <c r="N66" s="131">
        <v>22.3887115900772</v>
      </c>
      <c r="O66" s="131">
        <v>163.130063935268</v>
      </c>
    </row>
    <row r="67" spans="2:15" x14ac:dyDescent="0.3">
      <c r="B67" s="552"/>
      <c r="C67" s="25" t="s">
        <v>26</v>
      </c>
      <c r="D67" s="132">
        <v>1.74184648054554</v>
      </c>
      <c r="E67" s="132">
        <v>7.2207869173860297</v>
      </c>
      <c r="F67" s="132">
        <v>6.5108075524454501</v>
      </c>
      <c r="G67" s="132">
        <v>2.6321743015321202</v>
      </c>
      <c r="H67" s="132">
        <v>62.322947469060502</v>
      </c>
      <c r="I67" s="132">
        <v>6.7870374661361499</v>
      </c>
      <c r="J67" s="132">
        <v>23.020681402124801</v>
      </c>
      <c r="K67" s="132">
        <v>12.7841943526278</v>
      </c>
      <c r="L67" s="132">
        <v>4.6023099669460104</v>
      </c>
      <c r="M67" s="132">
        <v>26.771472709511801</v>
      </c>
      <c r="N67" s="131">
        <v>30.752836093615901</v>
      </c>
      <c r="O67" s="131">
        <v>185.147094711932</v>
      </c>
    </row>
    <row r="68" spans="2:15" ht="14.5" thickBot="1" x14ac:dyDescent="0.35">
      <c r="B68" s="557"/>
      <c r="C68" s="27" t="s">
        <v>0</v>
      </c>
      <c r="D68" s="133">
        <v>4.8335910391741699</v>
      </c>
      <c r="E68" s="133">
        <v>5.4084343534777002</v>
      </c>
      <c r="F68" s="134">
        <v>7.2591494141622199</v>
      </c>
      <c r="G68" s="134">
        <v>2.8344916270332501</v>
      </c>
      <c r="H68" s="134">
        <v>49.144429850071099</v>
      </c>
      <c r="I68" s="134">
        <v>6.4541350979932597</v>
      </c>
      <c r="J68" s="134">
        <v>21.1453542728968</v>
      </c>
      <c r="K68" s="134">
        <v>12.0027751378865</v>
      </c>
      <c r="L68" s="134">
        <v>5.6888457263086902</v>
      </c>
      <c r="M68" s="134">
        <v>32.957683353402203</v>
      </c>
      <c r="N68" s="135">
        <v>26.669458317667299</v>
      </c>
      <c r="O68" s="135">
        <v>174.39834819007299</v>
      </c>
    </row>
    <row r="69" spans="2:15" x14ac:dyDescent="0.3">
      <c r="B69" s="554" t="s">
        <v>23</v>
      </c>
      <c r="C69" s="24" t="s">
        <v>25</v>
      </c>
      <c r="D69" s="129">
        <v>7.40754289058785</v>
      </c>
      <c r="E69" s="130">
        <v>20.7594103230055</v>
      </c>
      <c r="F69" s="130">
        <v>28.5327578007828</v>
      </c>
      <c r="G69" s="130">
        <v>3.24651571130702</v>
      </c>
      <c r="H69" s="130">
        <v>44.3538061967297</v>
      </c>
      <c r="I69" s="130">
        <v>89.119142554047599</v>
      </c>
      <c r="J69" s="130">
        <v>10.2425284413067</v>
      </c>
      <c r="K69" s="130">
        <v>25.1490653692797</v>
      </c>
      <c r="L69" s="130">
        <v>3.5208691516991601</v>
      </c>
      <c r="M69" s="130">
        <v>41.335918352416101</v>
      </c>
      <c r="N69" s="131">
        <v>20.805135896404099</v>
      </c>
      <c r="O69" s="131">
        <v>294.472692687566</v>
      </c>
    </row>
    <row r="70" spans="2:15" x14ac:dyDescent="0.3">
      <c r="B70" s="555"/>
      <c r="C70" s="25" t="s">
        <v>26</v>
      </c>
      <c r="D70" s="132">
        <v>1.59462787586708</v>
      </c>
      <c r="E70" s="132">
        <v>23.565056387813499</v>
      </c>
      <c r="F70" s="132">
        <v>31.582490985922998</v>
      </c>
      <c r="G70" s="132">
        <v>3.1006653141859899</v>
      </c>
      <c r="H70" s="132">
        <v>69.809264787958796</v>
      </c>
      <c r="I70" s="132">
        <v>116.00917796933</v>
      </c>
      <c r="J70" s="132">
        <v>12.491251694292099</v>
      </c>
      <c r="K70" s="132">
        <v>35.569060675590698</v>
      </c>
      <c r="L70" s="132">
        <v>3.1006653141859899</v>
      </c>
      <c r="M70" s="132">
        <v>31.759671861019299</v>
      </c>
      <c r="N70" s="131">
        <v>30.873767485537599</v>
      </c>
      <c r="O70" s="131">
        <v>359.45570035170402</v>
      </c>
    </row>
    <row r="71" spans="2:15" ht="14.5" thickBot="1" x14ac:dyDescent="0.35">
      <c r="B71" s="556"/>
      <c r="C71" s="27" t="s">
        <v>0</v>
      </c>
      <c r="D71" s="133">
        <v>4.4549042195592801</v>
      </c>
      <c r="E71" s="133">
        <v>22.1845230327548</v>
      </c>
      <c r="F71" s="134">
        <v>30.081853240155301</v>
      </c>
      <c r="G71" s="134">
        <v>3.17243179271646</v>
      </c>
      <c r="H71" s="134">
        <v>57.283768398979397</v>
      </c>
      <c r="I71" s="134">
        <v>102.777790277509</v>
      </c>
      <c r="J71" s="134">
        <v>11.3847552277626</v>
      </c>
      <c r="K71" s="134">
        <v>30.441845500321701</v>
      </c>
      <c r="L71" s="134">
        <v>3.3074288902788598</v>
      </c>
      <c r="M71" s="134">
        <v>36.4717158581091</v>
      </c>
      <c r="N71" s="135">
        <v>25.919442731981299</v>
      </c>
      <c r="O71" s="135">
        <v>327.48045917012797</v>
      </c>
    </row>
    <row r="72" spans="2:15" x14ac:dyDescent="0.3">
      <c r="B72" s="554" t="s">
        <v>24</v>
      </c>
      <c r="C72" s="24" t="s">
        <v>25</v>
      </c>
      <c r="D72" s="129">
        <v>7.9490904915629201</v>
      </c>
      <c r="E72" s="130">
        <v>23.0082008116905</v>
      </c>
      <c r="F72" s="130">
        <v>9.2297772929813995</v>
      </c>
      <c r="G72" s="130">
        <v>8.1257369469309904</v>
      </c>
      <c r="H72" s="130">
        <v>33.518664906090301</v>
      </c>
      <c r="I72" s="130"/>
      <c r="J72" s="130">
        <v>21.285897871851802</v>
      </c>
      <c r="K72" s="130">
        <v>34.048604272194503</v>
      </c>
      <c r="L72" s="130">
        <v>9.6713934314015599</v>
      </c>
      <c r="M72" s="130">
        <v>39.171351477868399</v>
      </c>
      <c r="N72" s="131">
        <v>39.745452457814601</v>
      </c>
      <c r="O72" s="131">
        <v>225.754169960387</v>
      </c>
    </row>
    <row r="73" spans="2:15" x14ac:dyDescent="0.3">
      <c r="B73" s="555"/>
      <c r="C73" s="25" t="s">
        <v>26</v>
      </c>
      <c r="D73" s="132">
        <v>3.30913703645566</v>
      </c>
      <c r="E73" s="132">
        <v>30.376181001310901</v>
      </c>
      <c r="F73" s="132">
        <v>9.1637641009541309</v>
      </c>
      <c r="G73" s="132">
        <v>15.5274891710612</v>
      </c>
      <c r="H73" s="132">
        <v>62.916028526458298</v>
      </c>
      <c r="I73" s="132"/>
      <c r="J73" s="132">
        <v>24.012455931203899</v>
      </c>
      <c r="K73" s="132">
        <v>49.0855327074256</v>
      </c>
      <c r="L73" s="132">
        <v>5.0485552222849197</v>
      </c>
      <c r="M73" s="132">
        <v>31.9034750181366</v>
      </c>
      <c r="N73" s="131">
        <v>53.582565090301301</v>
      </c>
      <c r="O73" s="131">
        <v>284.92518380559198</v>
      </c>
    </row>
    <row r="74" spans="2:15" ht="14.5" thickBot="1" x14ac:dyDescent="0.35">
      <c r="B74" s="556"/>
      <c r="C74" s="27" t="s">
        <v>0</v>
      </c>
      <c r="D74" s="133">
        <v>5.5825788917931796</v>
      </c>
      <c r="E74" s="133">
        <v>26.766085616853299</v>
      </c>
      <c r="F74" s="134">
        <v>9.1961086395817802</v>
      </c>
      <c r="G74" s="134">
        <v>11.9008464747529</v>
      </c>
      <c r="H74" s="134">
        <v>48.512177811629101</v>
      </c>
      <c r="I74" s="134"/>
      <c r="J74" s="134">
        <v>22.676522010074599</v>
      </c>
      <c r="K74" s="134">
        <v>41.717876369679203</v>
      </c>
      <c r="L74" s="134">
        <v>7.3136111063026901</v>
      </c>
      <c r="M74" s="134">
        <v>35.4645224947636</v>
      </c>
      <c r="N74" s="135">
        <v>46.802783499800903</v>
      </c>
      <c r="O74" s="135">
        <v>255.93311291523099</v>
      </c>
    </row>
    <row r="75" spans="2:15" x14ac:dyDescent="0.3">
      <c r="B75" s="554" t="s">
        <v>6</v>
      </c>
      <c r="C75" s="24" t="s">
        <v>25</v>
      </c>
      <c r="D75" s="129">
        <v>6.0448219623297703</v>
      </c>
      <c r="E75" s="130">
        <v>16.6036343510746</v>
      </c>
      <c r="F75" s="130">
        <v>9.0623264321615906</v>
      </c>
      <c r="G75" s="130">
        <v>3.4247449104757899</v>
      </c>
      <c r="H75" s="130">
        <v>19.611325798240301</v>
      </c>
      <c r="I75" s="130">
        <v>7.0457502742739804</v>
      </c>
      <c r="J75" s="130">
        <v>12.491977853970401</v>
      </c>
      <c r="K75" s="130">
        <v>9.6118557014643002</v>
      </c>
      <c r="L75" s="130">
        <v>4.3422625297579902</v>
      </c>
      <c r="M75" s="130">
        <v>33.290679394811299</v>
      </c>
      <c r="N75" s="131">
        <v>15.0875223491591</v>
      </c>
      <c r="O75" s="131">
        <v>136.61690155771899</v>
      </c>
    </row>
    <row r="76" spans="2:15" x14ac:dyDescent="0.3">
      <c r="B76" s="555"/>
      <c r="C76" s="25" t="s">
        <v>26</v>
      </c>
      <c r="D76" s="132">
        <v>2.57791876649868</v>
      </c>
      <c r="E76" s="132">
        <v>28.858628809695201</v>
      </c>
      <c r="F76" s="132">
        <v>11.328781197504201</v>
      </c>
      <c r="G76" s="132">
        <v>3.4731596472282198</v>
      </c>
      <c r="H76" s="132">
        <v>35.4299781017519</v>
      </c>
      <c r="I76" s="132">
        <v>8.6383714302855807</v>
      </c>
      <c r="J76" s="132">
        <v>15.809672726181899</v>
      </c>
      <c r="K76" s="132">
        <v>11.980291576673901</v>
      </c>
      <c r="L76" s="132">
        <v>3.24349052075834</v>
      </c>
      <c r="M76" s="132">
        <v>26.8244165466763</v>
      </c>
      <c r="N76" s="131">
        <v>22.071671766258699</v>
      </c>
      <c r="O76" s="131">
        <v>170.236381089513</v>
      </c>
    </row>
    <row r="77" spans="2:15" ht="14.5" thickBot="1" x14ac:dyDescent="0.35">
      <c r="B77" s="556"/>
      <c r="C77" s="27" t="s">
        <v>0</v>
      </c>
      <c r="D77" s="133">
        <v>4.2717299691342303</v>
      </c>
      <c r="E77" s="133">
        <v>22.871254565381399</v>
      </c>
      <c r="F77" s="134">
        <v>10.221468343652299</v>
      </c>
      <c r="G77" s="134">
        <v>3.44950585049616</v>
      </c>
      <c r="H77" s="134">
        <v>27.701521618021999</v>
      </c>
      <c r="I77" s="134">
        <v>7.8602708017907696</v>
      </c>
      <c r="J77" s="134">
        <v>14.188759644952601</v>
      </c>
      <c r="K77" s="134">
        <v>10.8231542147256</v>
      </c>
      <c r="L77" s="134">
        <v>3.7803132218432598</v>
      </c>
      <c r="M77" s="134">
        <v>29.983613049344001</v>
      </c>
      <c r="N77" s="135">
        <v>18.659453467868101</v>
      </c>
      <c r="O77" s="135">
        <v>153.81104474720999</v>
      </c>
    </row>
    <row r="78" spans="2:15" x14ac:dyDescent="0.3">
      <c r="B78" s="554" t="s">
        <v>22</v>
      </c>
      <c r="C78" s="24" t="s">
        <v>25</v>
      </c>
      <c r="D78" s="129">
        <v>6.8639559186775596</v>
      </c>
      <c r="E78" s="130">
        <v>12.184115523465699</v>
      </c>
      <c r="F78" s="130"/>
      <c r="G78" s="130">
        <v>3.4201026030780901</v>
      </c>
      <c r="H78" s="130">
        <v>22.586927607828201</v>
      </c>
      <c r="I78" s="130">
        <v>31.9684590537716</v>
      </c>
      <c r="J78" s="130">
        <v>11.8991069732092</v>
      </c>
      <c r="K78" s="130">
        <v>9.8565456963708904</v>
      </c>
      <c r="L78" s="130">
        <v>5.0589017670530101</v>
      </c>
      <c r="M78" s="130">
        <v>47.335170055101699</v>
      </c>
      <c r="N78" s="131">
        <v>16.815504465134001</v>
      </c>
      <c r="O78" s="131">
        <v>167.98878966369</v>
      </c>
    </row>
    <row r="79" spans="2:15" x14ac:dyDescent="0.3">
      <c r="B79" s="555"/>
      <c r="C79" s="25" t="s">
        <v>26</v>
      </c>
      <c r="D79" s="132">
        <v>3.15094607155799</v>
      </c>
      <c r="E79" s="132">
        <v>23.362014444837101</v>
      </c>
      <c r="F79" s="132"/>
      <c r="G79" s="132">
        <v>3.3760136480978402</v>
      </c>
      <c r="H79" s="132">
        <v>47.354218103985701</v>
      </c>
      <c r="I79" s="132">
        <v>44.045724728849798</v>
      </c>
      <c r="J79" s="132">
        <v>12.986399166349701</v>
      </c>
      <c r="K79" s="132">
        <v>13.6165883806613</v>
      </c>
      <c r="L79" s="132">
        <v>3.3760136480978402</v>
      </c>
      <c r="M79" s="132">
        <v>42.3352111471469</v>
      </c>
      <c r="N79" s="131">
        <v>21.3814197712863</v>
      </c>
      <c r="O79" s="131">
        <v>214.984549110871</v>
      </c>
    </row>
    <row r="80" spans="2:15" ht="14.5" thickBot="1" x14ac:dyDescent="0.35">
      <c r="B80" s="556"/>
      <c r="C80" s="27" t="s">
        <v>0</v>
      </c>
      <c r="D80" s="133">
        <v>4.9575259056729601</v>
      </c>
      <c r="E80" s="133">
        <v>17.923362889740702</v>
      </c>
      <c r="F80" s="134"/>
      <c r="G80" s="134">
        <v>3.3974653059856599</v>
      </c>
      <c r="H80" s="134">
        <v>35.303593570701402</v>
      </c>
      <c r="I80" s="134">
        <v>38.169482672349098</v>
      </c>
      <c r="J80" s="134">
        <v>12.4573727886141</v>
      </c>
      <c r="K80" s="134">
        <v>11.787124530970701</v>
      </c>
      <c r="L80" s="134">
        <v>4.1948296124924997</v>
      </c>
      <c r="M80" s="134">
        <v>44.767961208804302</v>
      </c>
      <c r="N80" s="135">
        <v>19.159855365048401</v>
      </c>
      <c r="O80" s="135">
        <v>192.11857385037999</v>
      </c>
    </row>
    <row r="81" spans="2:15" x14ac:dyDescent="0.3">
      <c r="B81" s="554" t="s">
        <v>7</v>
      </c>
      <c r="C81" s="24" t="s">
        <v>25</v>
      </c>
      <c r="D81" s="129">
        <v>17.441077105030701</v>
      </c>
      <c r="E81" s="130">
        <v>24.053216493919301</v>
      </c>
      <c r="F81" s="130">
        <v>1.3224278777777201</v>
      </c>
      <c r="G81" s="130">
        <v>14.871075757651401</v>
      </c>
      <c r="H81" s="130">
        <v>45.586334579243399</v>
      </c>
      <c r="I81" s="130">
        <v>96.237817445069297</v>
      </c>
      <c r="J81" s="130">
        <v>39.772642210899797</v>
      </c>
      <c r="K81" s="130">
        <v>35.181571842765798</v>
      </c>
      <c r="L81" s="130">
        <v>5.18990563354276</v>
      </c>
      <c r="M81" s="130">
        <v>69.639551073162707</v>
      </c>
      <c r="N81" s="131">
        <v>50.302162294337499</v>
      </c>
      <c r="O81" s="131">
        <v>399.59778231339999</v>
      </c>
    </row>
    <row r="82" spans="2:15" x14ac:dyDescent="0.3">
      <c r="B82" s="555"/>
      <c r="C82" s="25" t="s">
        <v>26</v>
      </c>
      <c r="D82" s="132">
        <v>9.7476971065585793</v>
      </c>
      <c r="E82" s="132">
        <v>36.553864149594702</v>
      </c>
      <c r="F82" s="132">
        <v>1.5317809738877799</v>
      </c>
      <c r="G82" s="132">
        <v>13.855655172894</v>
      </c>
      <c r="H82" s="132">
        <v>86.777713051006003</v>
      </c>
      <c r="I82" s="132">
        <v>130.108547569922</v>
      </c>
      <c r="J82" s="132">
        <v>44.189560216398903</v>
      </c>
      <c r="K82" s="132">
        <v>39.362129268388898</v>
      </c>
      <c r="L82" s="132">
        <v>3.4581115925648298</v>
      </c>
      <c r="M82" s="132">
        <v>45.373209150766698</v>
      </c>
      <c r="N82" s="131">
        <v>80.580962747550899</v>
      </c>
      <c r="O82" s="131">
        <v>491.53923099953403</v>
      </c>
    </row>
    <row r="83" spans="2:15" ht="14.5" thickBot="1" x14ac:dyDescent="0.35">
      <c r="B83" s="556"/>
      <c r="C83" s="27" t="s">
        <v>0</v>
      </c>
      <c r="D83" s="133">
        <v>13.4551956414305</v>
      </c>
      <c r="E83" s="133">
        <v>30.529706643067001</v>
      </c>
      <c r="F83" s="134">
        <v>1.43089211915123</v>
      </c>
      <c r="G83" s="134">
        <v>14.344994102079101</v>
      </c>
      <c r="H83" s="134">
        <v>66.927273405006204</v>
      </c>
      <c r="I83" s="134">
        <v>113.785984231328</v>
      </c>
      <c r="J83" s="134">
        <v>42.061013720932799</v>
      </c>
      <c r="K83" s="134">
        <v>37.347486740199301</v>
      </c>
      <c r="L83" s="134">
        <v>4.2926763574536899</v>
      </c>
      <c r="M83" s="134">
        <v>57.067344516737201</v>
      </c>
      <c r="N83" s="135">
        <v>65.989377730268401</v>
      </c>
      <c r="O83" s="135">
        <v>447.23194520765401</v>
      </c>
    </row>
    <row r="84" spans="2:15" x14ac:dyDescent="0.3">
      <c r="B84" s="554" t="s">
        <v>8</v>
      </c>
      <c r="C84" s="24" t="s">
        <v>25</v>
      </c>
      <c r="D84" s="129">
        <v>7.3223943316179696</v>
      </c>
      <c r="E84" s="130">
        <v>7.5587738991830404</v>
      </c>
      <c r="F84" s="130"/>
      <c r="G84" s="130">
        <v>3.2609635798181298</v>
      </c>
      <c r="H84" s="130">
        <v>37.369460726877897</v>
      </c>
      <c r="I84" s="130">
        <v>38.126949795666</v>
      </c>
      <c r="J84" s="130">
        <v>20.4951829604714</v>
      </c>
      <c r="K84" s="130">
        <v>15.010102540382</v>
      </c>
      <c r="L84" s="130">
        <v>10.7552703242107</v>
      </c>
      <c r="M84" s="130">
        <v>52.857694665289202</v>
      </c>
      <c r="N84" s="131">
        <v>19.2756792823516</v>
      </c>
      <c r="O84" s="131">
        <v>212.03247210586801</v>
      </c>
    </row>
    <row r="85" spans="2:15" x14ac:dyDescent="0.3">
      <c r="B85" s="555"/>
      <c r="C85" s="25" t="s">
        <v>26</v>
      </c>
      <c r="D85" s="132">
        <v>2.5927729757814699</v>
      </c>
      <c r="E85" s="132">
        <v>16.5835793078415</v>
      </c>
      <c r="F85" s="132"/>
      <c r="G85" s="132">
        <v>2.67919874164085</v>
      </c>
      <c r="H85" s="132">
        <v>70.742031290194305</v>
      </c>
      <c r="I85" s="132">
        <v>47.6358485942595</v>
      </c>
      <c r="J85" s="132">
        <v>27.869767555360799</v>
      </c>
      <c r="K85" s="132">
        <v>18.8509846945053</v>
      </c>
      <c r="L85" s="132">
        <v>7.12249988052909</v>
      </c>
      <c r="M85" s="132">
        <v>36.822460124676802</v>
      </c>
      <c r="N85" s="131">
        <v>25.505768665677699</v>
      </c>
      <c r="O85" s="131">
        <v>256.40491183046697</v>
      </c>
    </row>
    <row r="86" spans="2:15" ht="14.5" thickBot="1" x14ac:dyDescent="0.35">
      <c r="B86" s="556"/>
      <c r="C86" s="27" t="s">
        <v>0</v>
      </c>
      <c r="D86" s="133">
        <v>4.8923589607093696</v>
      </c>
      <c r="E86" s="133">
        <v>12.1956348038185</v>
      </c>
      <c r="F86" s="134"/>
      <c r="G86" s="134">
        <v>2.9620582282137899</v>
      </c>
      <c r="H86" s="134">
        <v>54.515976438315697</v>
      </c>
      <c r="I86" s="134">
        <v>43.012533372130903</v>
      </c>
      <c r="J86" s="134">
        <v>24.2841757916257</v>
      </c>
      <c r="K86" s="134">
        <v>16.9835119928096</v>
      </c>
      <c r="L86" s="134">
        <v>8.8887867289343205</v>
      </c>
      <c r="M86" s="134">
        <v>44.618940612299802</v>
      </c>
      <c r="N86" s="135">
        <v>22.476641140899201</v>
      </c>
      <c r="O86" s="135">
        <v>234.83061806975701</v>
      </c>
    </row>
    <row r="87" spans="2:15" x14ac:dyDescent="0.3">
      <c r="B87" s="554" t="s">
        <v>9</v>
      </c>
      <c r="C87" s="24" t="s">
        <v>25</v>
      </c>
      <c r="D87" s="129">
        <v>4.0553301143198199</v>
      </c>
      <c r="E87" s="130">
        <v>6.5629738565079201</v>
      </c>
      <c r="F87" s="130">
        <v>5.4136371413383797</v>
      </c>
      <c r="G87" s="130">
        <v>1.6848231392826301</v>
      </c>
      <c r="H87" s="130">
        <v>37.777914188953602</v>
      </c>
      <c r="I87" s="130"/>
      <c r="J87" s="130">
        <v>5.8642293762628004</v>
      </c>
      <c r="K87" s="130">
        <v>13.9357076714308</v>
      </c>
      <c r="L87" s="130">
        <v>3.71575335756518</v>
      </c>
      <c r="M87" s="130">
        <v>21.412926642278101</v>
      </c>
      <c r="N87" s="131">
        <v>9.7758924011864305</v>
      </c>
      <c r="O87" s="131">
        <v>110.19918788912599</v>
      </c>
    </row>
    <row r="88" spans="2:15" x14ac:dyDescent="0.3">
      <c r="B88" s="555"/>
      <c r="C88" s="25" t="s">
        <v>26</v>
      </c>
      <c r="D88" s="132">
        <v>1.4579623882152899</v>
      </c>
      <c r="E88" s="132">
        <v>13.8202684716241</v>
      </c>
      <c r="F88" s="132">
        <v>5.2000658513011997</v>
      </c>
      <c r="G88" s="132">
        <v>2.30844044800754</v>
      </c>
      <c r="H88" s="132">
        <v>55.074529214832602</v>
      </c>
      <c r="I88" s="132"/>
      <c r="J88" s="132">
        <v>7.8122484635202598</v>
      </c>
      <c r="K88" s="132">
        <v>16.468900143548499</v>
      </c>
      <c r="L88" s="132">
        <v>2.65470651520867</v>
      </c>
      <c r="M88" s="132">
        <v>14.075411889561799</v>
      </c>
      <c r="N88" s="131">
        <v>14.294106247794099</v>
      </c>
      <c r="O88" s="131">
        <v>133.16663963361401</v>
      </c>
    </row>
    <row r="89" spans="2:15" ht="14.5" thickBot="1" x14ac:dyDescent="0.35">
      <c r="B89" s="556"/>
      <c r="C89" s="27" t="s">
        <v>0</v>
      </c>
      <c r="D89" s="133">
        <v>2.7097192057406998</v>
      </c>
      <c r="E89" s="133">
        <v>10.3227398313932</v>
      </c>
      <c r="F89" s="134">
        <v>5.3029928707004501</v>
      </c>
      <c r="G89" s="134">
        <v>2.0078987842770801</v>
      </c>
      <c r="H89" s="134">
        <v>46.738722328054799</v>
      </c>
      <c r="I89" s="134"/>
      <c r="J89" s="134">
        <v>6.8734340828544598</v>
      </c>
      <c r="K89" s="134">
        <v>15.2480714887499</v>
      </c>
      <c r="L89" s="134">
        <v>3.1660598385309502</v>
      </c>
      <c r="M89" s="134">
        <v>17.611601248925599</v>
      </c>
      <c r="N89" s="135">
        <v>12.116630594775501</v>
      </c>
      <c r="O89" s="135">
        <v>122.097870274003</v>
      </c>
    </row>
    <row r="90" spans="2:15" x14ac:dyDescent="0.3">
      <c r="B90" s="554" t="s">
        <v>10</v>
      </c>
      <c r="C90" s="24" t="s">
        <v>25</v>
      </c>
      <c r="D90" s="129">
        <v>6.5868920847513399</v>
      </c>
      <c r="E90" s="130">
        <v>11.2877937007918</v>
      </c>
      <c r="F90" s="130">
        <v>3.80013004889501</v>
      </c>
      <c r="G90" s="130">
        <v>7.2624707601104603</v>
      </c>
      <c r="H90" s="130">
        <v>23.645253637568899</v>
      </c>
      <c r="I90" s="130">
        <v>3.5467880456353398</v>
      </c>
      <c r="J90" s="130">
        <v>16.8894668839778</v>
      </c>
      <c r="K90" s="130">
        <v>16.579826657771498</v>
      </c>
      <c r="L90" s="130">
        <v>7.6284092092633102</v>
      </c>
      <c r="M90" s="130">
        <v>42.927394996776897</v>
      </c>
      <c r="N90" s="131">
        <v>40.225080295340497</v>
      </c>
      <c r="O90" s="131">
        <v>180.379506320883</v>
      </c>
    </row>
    <row r="91" spans="2:15" x14ac:dyDescent="0.3">
      <c r="B91" s="555"/>
      <c r="C91" s="25" t="s">
        <v>26</v>
      </c>
      <c r="D91" s="132">
        <v>2.0284766920226298</v>
      </c>
      <c r="E91" s="132">
        <v>21.5330602691633</v>
      </c>
      <c r="F91" s="132">
        <v>4.3170144984071301</v>
      </c>
      <c r="G91" s="132">
        <v>12.508939600806199</v>
      </c>
      <c r="H91" s="132">
        <v>49.905727846043803</v>
      </c>
      <c r="I91" s="132">
        <v>5.7733567388336304</v>
      </c>
      <c r="J91" s="132">
        <v>20.5708341460243</v>
      </c>
      <c r="K91" s="132">
        <v>28.814771471295799</v>
      </c>
      <c r="L91" s="132">
        <v>4.6290878356413803</v>
      </c>
      <c r="M91" s="132">
        <v>33.1057798582667</v>
      </c>
      <c r="N91" s="131">
        <v>61.972563552434799</v>
      </c>
      <c r="O91" s="131">
        <v>245.15961250894</v>
      </c>
    </row>
    <row r="92" spans="2:15" ht="14.5" thickBot="1" x14ac:dyDescent="0.35">
      <c r="B92" s="556"/>
      <c r="C92" s="27" t="s">
        <v>0</v>
      </c>
      <c r="D92" s="133">
        <v>4.2174928627043897</v>
      </c>
      <c r="E92" s="133">
        <v>16.613136949563099</v>
      </c>
      <c r="F92" s="134">
        <v>4.0687992040834002</v>
      </c>
      <c r="G92" s="134">
        <v>9.9895103382645605</v>
      </c>
      <c r="H92" s="134">
        <v>37.295073103209603</v>
      </c>
      <c r="I92" s="134">
        <v>4.7041266545548899</v>
      </c>
      <c r="J92" s="134">
        <v>18.8029890128904</v>
      </c>
      <c r="K92" s="134">
        <v>22.939376243619702</v>
      </c>
      <c r="L92" s="134">
        <v>6.0694047928021497</v>
      </c>
      <c r="M92" s="134">
        <v>37.8222597110477</v>
      </c>
      <c r="N92" s="135">
        <v>51.529111514836899</v>
      </c>
      <c r="O92" s="135">
        <v>214.05128038757701</v>
      </c>
    </row>
    <row r="93" spans="2:15" x14ac:dyDescent="0.3">
      <c r="B93" s="554" t="s">
        <v>11</v>
      </c>
      <c r="C93" s="24" t="s">
        <v>25</v>
      </c>
      <c r="D93" s="129">
        <v>3.3227817622621898</v>
      </c>
      <c r="E93" s="130">
        <v>3.4190942771103701</v>
      </c>
      <c r="F93" s="130">
        <v>0.36919797358468798</v>
      </c>
      <c r="G93" s="130">
        <v>2.1991357557000999</v>
      </c>
      <c r="H93" s="130">
        <v>14.3505647123787</v>
      </c>
      <c r="I93" s="130">
        <v>24.511535028861701</v>
      </c>
      <c r="J93" s="130">
        <v>7.6728970162382897</v>
      </c>
      <c r="K93" s="130">
        <v>8.9249597092646198</v>
      </c>
      <c r="L93" s="130">
        <v>2.3596566137803898</v>
      </c>
      <c r="M93" s="130">
        <v>35.234328348625603</v>
      </c>
      <c r="N93" s="131">
        <v>11.6217101250136</v>
      </c>
      <c r="O93" s="131">
        <v>113.98586132282</v>
      </c>
    </row>
    <row r="94" spans="2:15" x14ac:dyDescent="0.3">
      <c r="B94" s="555"/>
      <c r="C94" s="25" t="s">
        <v>26</v>
      </c>
      <c r="D94" s="132">
        <v>0.86415747678145305</v>
      </c>
      <c r="E94" s="132">
        <v>7.39840085384823</v>
      </c>
      <c r="F94" s="132">
        <v>0.212249204823515</v>
      </c>
      <c r="G94" s="132">
        <v>2.81988229265527</v>
      </c>
      <c r="H94" s="132">
        <v>23.392894503048801</v>
      </c>
      <c r="I94" s="132">
        <v>32.474128337997797</v>
      </c>
      <c r="J94" s="132">
        <v>7.2922762514364701</v>
      </c>
      <c r="K94" s="132">
        <v>10.9459947058984</v>
      </c>
      <c r="L94" s="132">
        <v>1.57670837868897</v>
      </c>
      <c r="M94" s="132">
        <v>22.2103632190321</v>
      </c>
      <c r="N94" s="131">
        <v>14.8119623651839</v>
      </c>
      <c r="O94" s="131">
        <v>123.999017589395</v>
      </c>
    </row>
    <row r="95" spans="2:15" ht="14.5" thickBot="1" x14ac:dyDescent="0.35">
      <c r="B95" s="556"/>
      <c r="C95" s="27" t="s">
        <v>0</v>
      </c>
      <c r="D95" s="133">
        <v>2.05836076514883</v>
      </c>
      <c r="E95" s="133">
        <v>5.4655715771565596</v>
      </c>
      <c r="F95" s="134">
        <v>0.28848237996404102</v>
      </c>
      <c r="G95" s="134">
        <v>2.5183732088752802</v>
      </c>
      <c r="H95" s="134">
        <v>19.000852972226198</v>
      </c>
      <c r="I95" s="134">
        <v>28.606536542920701</v>
      </c>
      <c r="J95" s="134">
        <v>7.4771514158247401</v>
      </c>
      <c r="K95" s="134">
        <v>9.9643373403795792</v>
      </c>
      <c r="L95" s="134">
        <v>1.95700209110741</v>
      </c>
      <c r="M95" s="134">
        <v>28.5363651531997</v>
      </c>
      <c r="N95" s="135">
        <v>13.262392657265799</v>
      </c>
      <c r="O95" s="135">
        <v>119.135426104069</v>
      </c>
    </row>
    <row r="96" spans="2:15" x14ac:dyDescent="0.3">
      <c r="B96" s="554" t="s">
        <v>12</v>
      </c>
      <c r="C96" s="24" t="s">
        <v>25</v>
      </c>
      <c r="D96" s="129">
        <v>2.5203187416936799</v>
      </c>
      <c r="E96" s="130">
        <v>5.9714128702860396</v>
      </c>
      <c r="F96" s="130">
        <v>5.4188978004375103</v>
      </c>
      <c r="G96" s="130">
        <v>1.5640426592635299</v>
      </c>
      <c r="H96" s="130">
        <v>21.169827407042501</v>
      </c>
      <c r="I96" s="130">
        <v>7.4759539066427996</v>
      </c>
      <c r="J96" s="130">
        <v>13.727874427774999</v>
      </c>
      <c r="K96" s="130">
        <v>10.8250452531093</v>
      </c>
      <c r="L96" s="130">
        <v>2.89857905874383</v>
      </c>
      <c r="M96" s="130">
        <v>35.424716209134601</v>
      </c>
      <c r="N96" s="131">
        <v>14.1783867154977</v>
      </c>
      <c r="O96" s="131">
        <v>121.17505504962701</v>
      </c>
    </row>
    <row r="97" spans="2:15" x14ac:dyDescent="0.3">
      <c r="B97" s="555"/>
      <c r="C97" s="25" t="s">
        <v>26</v>
      </c>
      <c r="D97" s="132">
        <v>0.89443052236311704</v>
      </c>
      <c r="E97" s="132">
        <v>10.807702145221</v>
      </c>
      <c r="F97" s="132">
        <v>5.5744990012192499</v>
      </c>
      <c r="G97" s="132">
        <v>1.42795048307094</v>
      </c>
      <c r="H97" s="132">
        <v>38.338901294099699</v>
      </c>
      <c r="I97" s="132">
        <v>8.1244105781316502</v>
      </c>
      <c r="J97" s="132">
        <v>14.1225871952071</v>
      </c>
      <c r="K97" s="132">
        <v>13.8283666286403</v>
      </c>
      <c r="L97" s="132">
        <v>1.92224103490319</v>
      </c>
      <c r="M97" s="132">
        <v>22.2430748324512</v>
      </c>
      <c r="N97" s="131">
        <v>20.717050827191301</v>
      </c>
      <c r="O97" s="131">
        <v>138.00121454249901</v>
      </c>
    </row>
    <row r="98" spans="2:15" ht="14.5" thickBot="1" x14ac:dyDescent="0.35">
      <c r="B98" s="556"/>
      <c r="C98" s="27" t="s">
        <v>0</v>
      </c>
      <c r="D98" s="133">
        <v>1.67483172633127</v>
      </c>
      <c r="E98" s="133">
        <v>8.4863580773911007</v>
      </c>
      <c r="F98" s="134">
        <v>5.4998128309246201</v>
      </c>
      <c r="G98" s="134">
        <v>1.4932726232332401</v>
      </c>
      <c r="H98" s="134">
        <v>30.098011315824099</v>
      </c>
      <c r="I98" s="134">
        <v>7.8131614029826704</v>
      </c>
      <c r="J98" s="134">
        <v>13.933131170332</v>
      </c>
      <c r="K98" s="134">
        <v>12.3868188091151</v>
      </c>
      <c r="L98" s="134">
        <v>2.3908681891111501</v>
      </c>
      <c r="M98" s="134">
        <v>28.5700588639092</v>
      </c>
      <c r="N98" s="135">
        <v>17.578593161749801</v>
      </c>
      <c r="O98" s="135">
        <v>129.92491817090399</v>
      </c>
    </row>
    <row r="99" spans="2:15" x14ac:dyDescent="0.3">
      <c r="B99" s="554" t="s">
        <v>13</v>
      </c>
      <c r="C99" s="24" t="s">
        <v>25</v>
      </c>
      <c r="D99" s="129"/>
      <c r="E99" s="130"/>
      <c r="F99" s="130"/>
      <c r="G99" s="130"/>
      <c r="H99" s="130"/>
      <c r="I99" s="130"/>
      <c r="J99" s="130"/>
      <c r="K99" s="130"/>
      <c r="L99" s="130"/>
      <c r="M99" s="130"/>
      <c r="N99" s="131"/>
      <c r="O99" s="131"/>
    </row>
    <row r="100" spans="2:15" x14ac:dyDescent="0.3">
      <c r="B100" s="555"/>
      <c r="C100" s="25" t="s">
        <v>26</v>
      </c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1"/>
      <c r="O100" s="131"/>
    </row>
    <row r="101" spans="2:15" ht="14.5" thickBot="1" x14ac:dyDescent="0.35">
      <c r="B101" s="556"/>
      <c r="C101" s="27" t="s">
        <v>0</v>
      </c>
      <c r="D101" s="133"/>
      <c r="E101" s="133"/>
      <c r="F101" s="134"/>
      <c r="G101" s="134"/>
      <c r="H101" s="134"/>
      <c r="I101" s="134"/>
      <c r="J101" s="134"/>
      <c r="K101" s="134"/>
      <c r="L101" s="134"/>
      <c r="M101" s="134"/>
      <c r="N101" s="135"/>
      <c r="O101" s="135"/>
    </row>
    <row r="102" spans="2:15" x14ac:dyDescent="0.3">
      <c r="B102" s="554" t="s">
        <v>14</v>
      </c>
      <c r="C102" s="24" t="s">
        <v>25</v>
      </c>
      <c r="D102" s="129">
        <v>0.40054794959504603</v>
      </c>
      <c r="E102" s="130">
        <v>8.0109589919009197E-2</v>
      </c>
      <c r="F102" s="130">
        <v>1.04142466894712</v>
      </c>
      <c r="G102" s="130"/>
      <c r="H102" s="130">
        <v>0.56076712943306495</v>
      </c>
      <c r="I102" s="130"/>
      <c r="J102" s="130">
        <v>0.32043835967603701</v>
      </c>
      <c r="K102" s="130">
        <v>0.64087671935207402</v>
      </c>
      <c r="L102" s="130"/>
      <c r="M102" s="130">
        <v>1.3618630286231601</v>
      </c>
      <c r="N102" s="131">
        <v>0.56076712943306495</v>
      </c>
      <c r="O102" s="131">
        <v>4.9667945749785698</v>
      </c>
    </row>
    <row r="103" spans="2:15" x14ac:dyDescent="0.3">
      <c r="B103" s="555"/>
      <c r="C103" s="25" t="s">
        <v>26</v>
      </c>
      <c r="D103" s="132"/>
      <c r="E103" s="132">
        <v>0.46603027643362599</v>
      </c>
      <c r="F103" s="132">
        <v>1.8641211057345</v>
      </c>
      <c r="G103" s="132">
        <v>0.23301513821681299</v>
      </c>
      <c r="H103" s="132">
        <v>1.3204191165619401</v>
      </c>
      <c r="I103" s="132"/>
      <c r="J103" s="132">
        <v>0.46603027643362599</v>
      </c>
      <c r="K103" s="132">
        <v>0.46603027643362599</v>
      </c>
      <c r="L103" s="132"/>
      <c r="M103" s="132">
        <v>0.62137370191150099</v>
      </c>
      <c r="N103" s="131">
        <v>1.8641211057345</v>
      </c>
      <c r="O103" s="131">
        <v>7.3011409974601298</v>
      </c>
    </row>
    <row r="104" spans="2:15" ht="14.5" thickBot="1" x14ac:dyDescent="0.35">
      <c r="B104" s="556"/>
      <c r="C104" s="27" t="s">
        <v>0</v>
      </c>
      <c r="D104" s="133">
        <v>0.197179543805407</v>
      </c>
      <c r="E104" s="133">
        <v>0.27605136132757002</v>
      </c>
      <c r="F104" s="134">
        <v>1.4591286241600201</v>
      </c>
      <c r="G104" s="134">
        <v>0.118307726283244</v>
      </c>
      <c r="H104" s="134">
        <v>0.94646181026595599</v>
      </c>
      <c r="I104" s="134"/>
      <c r="J104" s="134">
        <v>0.39435908761081501</v>
      </c>
      <c r="K104" s="134">
        <v>0.55210272265514104</v>
      </c>
      <c r="L104" s="134"/>
      <c r="M104" s="134">
        <v>0.98589771902703704</v>
      </c>
      <c r="N104" s="135">
        <v>1.22251317159353</v>
      </c>
      <c r="O104" s="135">
        <v>6.1520017667287101</v>
      </c>
    </row>
    <row r="105" spans="2:15" x14ac:dyDescent="0.3">
      <c r="B105" s="554" t="s">
        <v>15</v>
      </c>
      <c r="C105" s="24" t="s">
        <v>25</v>
      </c>
      <c r="D105" s="129">
        <v>3.73908497906165</v>
      </c>
      <c r="E105" s="130">
        <v>9.1231584614814203</v>
      </c>
      <c r="F105" s="130">
        <v>7.7497236158205096</v>
      </c>
      <c r="G105" s="130">
        <v>5.6347383972172</v>
      </c>
      <c r="H105" s="130">
        <v>26.251927639305698</v>
      </c>
      <c r="I105" s="130">
        <v>5.7444042974410801</v>
      </c>
      <c r="J105" s="130">
        <v>7.6400577155966296</v>
      </c>
      <c r="K105" s="130">
        <v>9.9325972488481202</v>
      </c>
      <c r="L105" s="130">
        <v>6.0838463695625897</v>
      </c>
      <c r="M105" s="130">
        <v>49.125101114571102</v>
      </c>
      <c r="N105" s="131">
        <v>26.184039224881399</v>
      </c>
      <c r="O105" s="131">
        <v>157.208679063787</v>
      </c>
    </row>
    <row r="106" spans="2:15" x14ac:dyDescent="0.3">
      <c r="B106" s="555"/>
      <c r="C106" s="25" t="s">
        <v>26</v>
      </c>
      <c r="D106" s="132">
        <v>0.56221140431038596</v>
      </c>
      <c r="E106" s="132">
        <v>12.181247093391701</v>
      </c>
      <c r="F106" s="132">
        <v>4.0686351627725301</v>
      </c>
      <c r="G106" s="132">
        <v>6.2681639901622903</v>
      </c>
      <c r="H106" s="132">
        <v>37.189791227233499</v>
      </c>
      <c r="I106" s="132">
        <v>6.42597771768801</v>
      </c>
      <c r="J106" s="132">
        <v>5.7010209068667201</v>
      </c>
      <c r="K106" s="132">
        <v>12.171383735421299</v>
      </c>
      <c r="L106" s="132">
        <v>3.7727344236618001</v>
      </c>
      <c r="M106" s="132">
        <v>29.2497880610956</v>
      </c>
      <c r="N106" s="131">
        <v>29.4667819364435</v>
      </c>
      <c r="O106" s="131">
        <v>147.05773565904701</v>
      </c>
    </row>
    <row r="107" spans="2:15" ht="14.5" thickBot="1" x14ac:dyDescent="0.35">
      <c r="B107" s="556"/>
      <c r="C107" s="27" t="s">
        <v>0</v>
      </c>
      <c r="D107" s="133">
        <v>2.1052022845756699</v>
      </c>
      <c r="E107" s="133">
        <v>10.6959494386212</v>
      </c>
      <c r="F107" s="134">
        <v>5.8565205723918199</v>
      </c>
      <c r="G107" s="134">
        <v>5.9605124924732698</v>
      </c>
      <c r="H107" s="134">
        <v>31.877328087405999</v>
      </c>
      <c r="I107" s="134">
        <v>6.0949410720907498</v>
      </c>
      <c r="J107" s="134">
        <v>6.6428009437393598</v>
      </c>
      <c r="K107" s="134">
        <v>11.0840168477056</v>
      </c>
      <c r="L107" s="134">
        <v>4.8952294087120896</v>
      </c>
      <c r="M107" s="134">
        <v>38.9031236636404</v>
      </c>
      <c r="N107" s="135">
        <v>27.872370970122901</v>
      </c>
      <c r="O107" s="135">
        <v>151.98799578147899</v>
      </c>
    </row>
    <row r="108" spans="2:15" x14ac:dyDescent="0.3">
      <c r="B108" s="554" t="s">
        <v>16</v>
      </c>
      <c r="C108" s="24" t="s">
        <v>25</v>
      </c>
      <c r="D108" s="129">
        <v>4.1701314643224796</v>
      </c>
      <c r="E108" s="130">
        <v>19.5946681713788</v>
      </c>
      <c r="F108" s="130">
        <v>19.3471826245347</v>
      </c>
      <c r="G108" s="130">
        <v>6.1190801457194901</v>
      </c>
      <c r="H108" s="130">
        <v>25.825116813178099</v>
      </c>
      <c r="I108" s="130">
        <v>8.2412687099073398</v>
      </c>
      <c r="J108" s="130">
        <v>10.3325215807397</v>
      </c>
      <c r="K108" s="130">
        <v>13.6302664924368</v>
      </c>
      <c r="L108" s="130">
        <v>8.1484616298408206</v>
      </c>
      <c r="M108" s="130">
        <v>47.442979330007098</v>
      </c>
      <c r="N108" s="131">
        <v>14.4345945196801</v>
      </c>
      <c r="O108" s="131">
        <v>177.28627148174499</v>
      </c>
    </row>
    <row r="109" spans="2:15" x14ac:dyDescent="0.3">
      <c r="B109" s="555"/>
      <c r="C109" s="25" t="s">
        <v>26</v>
      </c>
      <c r="D109" s="132">
        <v>0.72919873790745404</v>
      </c>
      <c r="E109" s="132">
        <v>27.449123919801998</v>
      </c>
      <c r="F109" s="132">
        <v>17.8711563703033</v>
      </c>
      <c r="G109" s="132">
        <v>6.9216007185501196</v>
      </c>
      <c r="H109" s="132">
        <v>39.874438922082199</v>
      </c>
      <c r="I109" s="132">
        <v>8.7793213127429208</v>
      </c>
      <c r="J109" s="132">
        <v>8.3742109027943403</v>
      </c>
      <c r="K109" s="132">
        <v>14.0804803914987</v>
      </c>
      <c r="L109" s="132">
        <v>4.7397917963984497</v>
      </c>
      <c r="M109" s="132">
        <v>26.100684983830298</v>
      </c>
      <c r="N109" s="131">
        <v>19.653642174077099</v>
      </c>
      <c r="O109" s="131">
        <v>174.57365022998701</v>
      </c>
    </row>
    <row r="110" spans="2:15" ht="14.5" thickBot="1" x14ac:dyDescent="0.35">
      <c r="B110" s="556"/>
      <c r="C110" s="27" t="s">
        <v>0</v>
      </c>
      <c r="D110" s="133">
        <v>2.3922157300145299</v>
      </c>
      <c r="E110" s="133">
        <v>23.653033030518699</v>
      </c>
      <c r="F110" s="134">
        <v>18.584525952550401</v>
      </c>
      <c r="G110" s="134">
        <v>6.5337392126021898</v>
      </c>
      <c r="H110" s="134">
        <v>33.084343546101003</v>
      </c>
      <c r="I110" s="134">
        <v>8.5192782685142507</v>
      </c>
      <c r="J110" s="134">
        <v>9.3206705380691197</v>
      </c>
      <c r="K110" s="134">
        <v>13.862890155434201</v>
      </c>
      <c r="L110" s="134">
        <v>6.3872159991387996</v>
      </c>
      <c r="M110" s="134">
        <v>36.415503950146203</v>
      </c>
      <c r="N110" s="135">
        <v>17.131254896566599</v>
      </c>
      <c r="O110" s="135">
        <v>175.884671279656</v>
      </c>
    </row>
    <row r="111" spans="2:15" x14ac:dyDescent="0.3">
      <c r="B111" s="554" t="s">
        <v>17</v>
      </c>
      <c r="C111" s="24" t="s">
        <v>25</v>
      </c>
      <c r="D111" s="129">
        <v>1.93056122292278</v>
      </c>
      <c r="E111" s="130">
        <v>4.2560099687161301</v>
      </c>
      <c r="F111" s="130">
        <v>9.7844352889041009</v>
      </c>
      <c r="G111" s="130">
        <v>5.22129058017752</v>
      </c>
      <c r="H111" s="130">
        <v>24.4391500265452</v>
      </c>
      <c r="I111" s="130">
        <v>33.214428312557899</v>
      </c>
      <c r="J111" s="130">
        <v>4.0366280115658197</v>
      </c>
      <c r="K111" s="130">
        <v>15.795500914822799</v>
      </c>
      <c r="L111" s="130">
        <v>6.1426948002088499</v>
      </c>
      <c r="M111" s="130">
        <v>48.264030573069597</v>
      </c>
      <c r="N111" s="131">
        <v>12.4170187747079</v>
      </c>
      <c r="O111" s="131">
        <v>165.50174847419899</v>
      </c>
    </row>
    <row r="112" spans="2:15" x14ac:dyDescent="0.3">
      <c r="B112" s="555"/>
      <c r="C112" s="25" t="s">
        <v>26</v>
      </c>
      <c r="D112" s="132">
        <v>0.42272037469933998</v>
      </c>
      <c r="E112" s="132">
        <v>5.8335411708508902</v>
      </c>
      <c r="F112" s="132">
        <v>8.7503117562763393</v>
      </c>
      <c r="G112" s="132">
        <v>5.1994606088018802</v>
      </c>
      <c r="H112" s="132">
        <v>40.623428008606602</v>
      </c>
      <c r="I112" s="132">
        <v>33.521725713657702</v>
      </c>
      <c r="J112" s="132">
        <v>3.9312994847038598</v>
      </c>
      <c r="K112" s="132">
        <v>17.669711662432402</v>
      </c>
      <c r="L112" s="132">
        <v>4.2694757844633404</v>
      </c>
      <c r="M112" s="132">
        <v>28.829529554495</v>
      </c>
      <c r="N112" s="131">
        <v>17.035631100383402</v>
      </c>
      <c r="O112" s="131">
        <v>166.08683521937101</v>
      </c>
    </row>
    <row r="113" spans="1:54" ht="14.5" thickBot="1" x14ac:dyDescent="0.35">
      <c r="B113" s="556"/>
      <c r="C113" s="27" t="s">
        <v>0</v>
      </c>
      <c r="D113" s="133">
        <v>1.16260043575987</v>
      </c>
      <c r="E113" s="133">
        <v>5.0594648593253497</v>
      </c>
      <c r="F113" s="134">
        <v>9.2577442106804195</v>
      </c>
      <c r="G113" s="134">
        <v>5.2101723232201502</v>
      </c>
      <c r="H113" s="134">
        <v>32.681990027471798</v>
      </c>
      <c r="I113" s="134">
        <v>33.370938433848004</v>
      </c>
      <c r="J113" s="134">
        <v>3.98298297436251</v>
      </c>
      <c r="K113" s="134">
        <v>16.750058130021799</v>
      </c>
      <c r="L113" s="134">
        <v>5.1886426855208896</v>
      </c>
      <c r="M113" s="134">
        <v>38.365814380075598</v>
      </c>
      <c r="N113" s="135">
        <v>14.7693314616902</v>
      </c>
      <c r="O113" s="135">
        <v>165.79973992197699</v>
      </c>
    </row>
    <row r="114" spans="1:54" x14ac:dyDescent="0.3">
      <c r="B114" s="554" t="s">
        <v>18</v>
      </c>
      <c r="C114" s="24" t="s">
        <v>25</v>
      </c>
      <c r="D114" s="129">
        <v>1.97819530945001</v>
      </c>
      <c r="E114" s="130">
        <v>17.6334495796007</v>
      </c>
      <c r="F114" s="130">
        <v>2.2402079332182199</v>
      </c>
      <c r="G114" s="130">
        <v>16.9129148642382</v>
      </c>
      <c r="H114" s="130">
        <v>31.428414220997201</v>
      </c>
      <c r="I114" s="130">
        <v>19.480638577166602</v>
      </c>
      <c r="J114" s="130">
        <v>4.24460450504505</v>
      </c>
      <c r="K114" s="130">
        <v>10.7425175744967</v>
      </c>
      <c r="L114" s="130">
        <v>6.6289193813357903</v>
      </c>
      <c r="M114" s="130">
        <v>39.131585359782598</v>
      </c>
      <c r="N114" s="131">
        <v>27.314816027836201</v>
      </c>
      <c r="O114" s="131">
        <v>177.73626333316699</v>
      </c>
    </row>
    <row r="115" spans="1:54" x14ac:dyDescent="0.3">
      <c r="B115" s="555"/>
      <c r="C115" s="25" t="s">
        <v>26</v>
      </c>
      <c r="D115" s="132">
        <v>0.28518642512616399</v>
      </c>
      <c r="E115" s="132">
        <v>26.894319830376102</v>
      </c>
      <c r="F115" s="132">
        <v>0.76876340686183298</v>
      </c>
      <c r="G115" s="132">
        <v>24.637627248943001</v>
      </c>
      <c r="H115" s="132">
        <v>48.828875745514502</v>
      </c>
      <c r="I115" s="132">
        <v>20.483824969931401</v>
      </c>
      <c r="J115" s="132">
        <v>3.4842341504544398</v>
      </c>
      <c r="K115" s="132">
        <v>13.0689779166512</v>
      </c>
      <c r="L115" s="132">
        <v>4.6249798509590896</v>
      </c>
      <c r="M115" s="132">
        <v>21.066597229971901</v>
      </c>
      <c r="N115" s="131">
        <v>40.260883581941499</v>
      </c>
      <c r="O115" s="131">
        <v>204.40427035673099</v>
      </c>
    </row>
    <row r="116" spans="1:54" ht="14.5" thickBot="1" x14ac:dyDescent="0.35">
      <c r="B116" s="556"/>
      <c r="C116" s="27" t="s">
        <v>0</v>
      </c>
      <c r="D116" s="133">
        <v>1.1084129819366899</v>
      </c>
      <c r="E116" s="133">
        <v>22.3912162730314</v>
      </c>
      <c r="F116" s="134">
        <v>1.4842541654669501</v>
      </c>
      <c r="G116" s="134">
        <v>20.881481349358999</v>
      </c>
      <c r="H116" s="134">
        <v>40.367891186970198</v>
      </c>
      <c r="I116" s="134">
        <v>19.9960250017199</v>
      </c>
      <c r="J116" s="134">
        <v>3.85396467857298</v>
      </c>
      <c r="K116" s="134">
        <v>11.9377352192492</v>
      </c>
      <c r="L116" s="134">
        <v>5.5993966156457002</v>
      </c>
      <c r="M116" s="134">
        <v>29.850708237674301</v>
      </c>
      <c r="N116" s="135">
        <v>33.965850687853099</v>
      </c>
      <c r="O116" s="135">
        <v>191.436936397479</v>
      </c>
    </row>
    <row r="117" spans="1:54" x14ac:dyDescent="0.3">
      <c r="B117" s="554" t="s">
        <v>19</v>
      </c>
      <c r="C117" s="24" t="s">
        <v>25</v>
      </c>
      <c r="D117" s="129">
        <v>3.58502041173324</v>
      </c>
      <c r="E117" s="130">
        <v>11.4212139641884</v>
      </c>
      <c r="F117" s="130">
        <v>9.2396909051337506</v>
      </c>
      <c r="G117" s="130">
        <v>11.095765302697799</v>
      </c>
      <c r="H117" s="130">
        <v>22.481383319535698</v>
      </c>
      <c r="I117" s="130">
        <v>26.091829407947898</v>
      </c>
      <c r="J117" s="130">
        <v>9.1379881984179097</v>
      </c>
      <c r="K117" s="130">
        <v>9.3668192885285393</v>
      </c>
      <c r="L117" s="130">
        <v>11.299170716129399</v>
      </c>
      <c r="M117" s="130">
        <v>56.3483846559092</v>
      </c>
      <c r="N117" s="131">
        <v>15.2706614133829</v>
      </c>
      <c r="O117" s="131">
        <v>185.33792758360499</v>
      </c>
    </row>
    <row r="118" spans="1:54" x14ac:dyDescent="0.3">
      <c r="B118" s="555"/>
      <c r="C118" s="25" t="s">
        <v>26</v>
      </c>
      <c r="D118" s="132">
        <v>0.65568723148895203</v>
      </c>
      <c r="E118" s="132">
        <v>13.641145229020101</v>
      </c>
      <c r="F118" s="132">
        <v>4.5660538366730599</v>
      </c>
      <c r="G118" s="132">
        <v>17.090630229462001</v>
      </c>
      <c r="H118" s="132">
        <v>37.421685762369499</v>
      </c>
      <c r="I118" s="132">
        <v>22.963307172363098</v>
      </c>
      <c r="J118" s="132">
        <v>6.3905748286423201</v>
      </c>
      <c r="K118" s="132">
        <v>10.980385449065</v>
      </c>
      <c r="L118" s="132">
        <v>8.8755344088504504</v>
      </c>
      <c r="M118" s="132">
        <v>31.097629928225999</v>
      </c>
      <c r="N118" s="131">
        <v>20.026968700912501</v>
      </c>
      <c r="O118" s="131">
        <v>173.709602777073</v>
      </c>
    </row>
    <row r="119" spans="1:54" ht="14.5" thickBot="1" x14ac:dyDescent="0.35">
      <c r="B119" s="556"/>
      <c r="C119" s="27" t="s">
        <v>0</v>
      </c>
      <c r="D119" s="133">
        <v>2.0706537518133601</v>
      </c>
      <c r="E119" s="133">
        <v>12.568843710591899</v>
      </c>
      <c r="F119" s="134">
        <v>6.8235778440539798</v>
      </c>
      <c r="G119" s="134">
        <v>14.1949086971879</v>
      </c>
      <c r="H119" s="134">
        <v>30.2050168280532</v>
      </c>
      <c r="I119" s="134">
        <v>24.4744887106385</v>
      </c>
      <c r="J119" s="134">
        <v>7.7176679575297404</v>
      </c>
      <c r="K119" s="134">
        <v>10.2009786847934</v>
      </c>
      <c r="L119" s="134">
        <v>10.0462323189996</v>
      </c>
      <c r="M119" s="134">
        <v>43.294594340999097</v>
      </c>
      <c r="N119" s="135">
        <v>17.729512195241799</v>
      </c>
      <c r="O119" s="135">
        <v>179.32647503990199</v>
      </c>
    </row>
    <row r="120" spans="1:54" x14ac:dyDescent="0.3">
      <c r="B120" s="554" t="s">
        <v>20</v>
      </c>
      <c r="C120" s="24" t="s">
        <v>25</v>
      </c>
      <c r="D120" s="129">
        <v>2.9309364786130501</v>
      </c>
      <c r="E120" s="130">
        <v>8.11188479939368</v>
      </c>
      <c r="F120" s="130"/>
      <c r="G120" s="130">
        <v>1.8947468144569199</v>
      </c>
      <c r="H120" s="130">
        <v>11.7533513334281</v>
      </c>
      <c r="I120" s="130">
        <v>43.297925252238201</v>
      </c>
      <c r="J120" s="130">
        <v>6.6168111411112696</v>
      </c>
      <c r="K120" s="130">
        <v>17.126734877552</v>
      </c>
      <c r="L120" s="130">
        <v>5.6250296054189803</v>
      </c>
      <c r="M120" s="130">
        <v>39.878499360522902</v>
      </c>
      <c r="N120" s="131">
        <v>7.1793141016531701</v>
      </c>
      <c r="O120" s="131">
        <v>144.41523376438801</v>
      </c>
    </row>
    <row r="121" spans="1:54" x14ac:dyDescent="0.3">
      <c r="B121" s="555"/>
      <c r="C121" s="25" t="s">
        <v>26</v>
      </c>
      <c r="D121" s="132">
        <v>0.77488144313920004</v>
      </c>
      <c r="E121" s="132">
        <v>14.074664758110201</v>
      </c>
      <c r="F121" s="132"/>
      <c r="G121" s="132">
        <v>2.1555792872781399</v>
      </c>
      <c r="H121" s="132">
        <v>30.037222486777701</v>
      </c>
      <c r="I121" s="132">
        <v>59.863113670881098</v>
      </c>
      <c r="J121" s="132">
        <v>7.1570867839038801</v>
      </c>
      <c r="K121" s="132">
        <v>26.176904024593298</v>
      </c>
      <c r="L121" s="132">
        <v>3.6067208989751798</v>
      </c>
      <c r="M121" s="132">
        <v>24.810294933965999</v>
      </c>
      <c r="N121" s="131">
        <v>12.2994818156458</v>
      </c>
      <c r="O121" s="131">
        <v>180.95595010327099</v>
      </c>
    </row>
    <row r="122" spans="1:54" ht="14.5" thickBot="1" x14ac:dyDescent="0.35">
      <c r="B122" s="556"/>
      <c r="C122" s="27" t="s">
        <v>0</v>
      </c>
      <c r="D122" s="133">
        <v>1.8262691126641999</v>
      </c>
      <c r="E122" s="133">
        <v>11.166949870717501</v>
      </c>
      <c r="F122" s="134"/>
      <c r="G122" s="134">
        <v>2.0283858524056901</v>
      </c>
      <c r="H122" s="134">
        <v>21.121199302986</v>
      </c>
      <c r="I122" s="134">
        <v>51.785196103766701</v>
      </c>
      <c r="J122" s="134">
        <v>6.8936245161830501</v>
      </c>
      <c r="K122" s="134">
        <v>21.763641797164301</v>
      </c>
      <c r="L122" s="134">
        <v>4.59093737412819</v>
      </c>
      <c r="M122" s="134">
        <v>32.1582169838696</v>
      </c>
      <c r="N122" s="135">
        <v>9.8026618774624001</v>
      </c>
      <c r="O122" s="135">
        <v>163.13708279134801</v>
      </c>
    </row>
    <row r="123" spans="1:54" x14ac:dyDescent="0.3">
      <c r="B123" s="554" t="s">
        <v>1</v>
      </c>
      <c r="C123" s="24" t="s">
        <v>25</v>
      </c>
      <c r="D123" s="129">
        <v>5.2291707874160904</v>
      </c>
      <c r="E123" s="130">
        <v>9.8206684766471497</v>
      </c>
      <c r="F123" s="130">
        <v>6.5937576998921896</v>
      </c>
      <c r="G123" s="130">
        <v>4.6685882608907496</v>
      </c>
      <c r="H123" s="130">
        <v>26.9670361134554</v>
      </c>
      <c r="I123" s="130">
        <v>17.003917667437101</v>
      </c>
      <c r="J123" s="130">
        <v>13.0371049909484</v>
      </c>
      <c r="K123" s="130">
        <v>12.220112519554901</v>
      </c>
      <c r="L123" s="130">
        <v>6.4747700784174498</v>
      </c>
      <c r="M123" s="130">
        <v>41.027267060887198</v>
      </c>
      <c r="N123" s="131">
        <v>18.468638528971098</v>
      </c>
      <c r="O123" s="131">
        <v>161.511032184518</v>
      </c>
    </row>
    <row r="124" spans="1:54" x14ac:dyDescent="0.3">
      <c r="B124" s="555"/>
      <c r="C124" s="25" t="s">
        <v>26</v>
      </c>
      <c r="D124" s="132">
        <v>1.54285773196674</v>
      </c>
      <c r="E124" s="132">
        <v>16.160901496591698</v>
      </c>
      <c r="F124" s="132">
        <v>5.6919047408194503</v>
      </c>
      <c r="G124" s="132">
        <v>5.6310752245053504</v>
      </c>
      <c r="H124" s="132">
        <v>46.521545083934299</v>
      </c>
      <c r="I124" s="132">
        <v>19.8636020545683</v>
      </c>
      <c r="J124" s="132">
        <v>14.563929194917</v>
      </c>
      <c r="K124" s="132">
        <v>15.0177805861177</v>
      </c>
      <c r="L124" s="132">
        <v>4.4326547537457301</v>
      </c>
      <c r="M124" s="132">
        <v>26.828976669391999</v>
      </c>
      <c r="N124" s="131">
        <v>25.4516226214227</v>
      </c>
      <c r="O124" s="131">
        <v>181.70685015798099</v>
      </c>
    </row>
    <row r="125" spans="1:54" ht="14.5" thickBot="1" x14ac:dyDescent="0.35">
      <c r="B125" s="556"/>
      <c r="C125" s="27" t="s">
        <v>0</v>
      </c>
      <c r="D125" s="133">
        <v>3.3317280911379599</v>
      </c>
      <c r="E125" s="133">
        <v>13.084153876676201</v>
      </c>
      <c r="F125" s="134">
        <v>6.1295501612026202</v>
      </c>
      <c r="G125" s="134">
        <v>5.1640057232448298</v>
      </c>
      <c r="H125" s="134">
        <v>37.032258374080101</v>
      </c>
      <c r="I125" s="134">
        <v>18.4758727543772</v>
      </c>
      <c r="J125" s="134">
        <v>13.8230017367601</v>
      </c>
      <c r="K125" s="134">
        <v>13.660146168260599</v>
      </c>
      <c r="L125" s="134">
        <v>5.4236393823882496</v>
      </c>
      <c r="M125" s="134">
        <v>33.719031976741697</v>
      </c>
      <c r="N125" s="135">
        <v>22.062964883012601</v>
      </c>
      <c r="O125" s="135">
        <v>171.906353127882</v>
      </c>
    </row>
    <row r="126" spans="1:54" x14ac:dyDescent="0.3">
      <c r="A126" s="88"/>
      <c r="B126" s="87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</row>
    <row r="127" spans="1:54" ht="28.5" customHeight="1" x14ac:dyDescent="0.3">
      <c r="A127" s="478" t="s">
        <v>231</v>
      </c>
      <c r="B127" s="478"/>
      <c r="C127" s="478"/>
      <c r="D127" s="478"/>
      <c r="E127" s="478"/>
      <c r="F127" s="478"/>
      <c r="G127" s="478"/>
      <c r="H127" s="478"/>
      <c r="I127" s="478"/>
      <c r="J127" s="478"/>
      <c r="K127" s="47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B127" s="20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</row>
    <row r="128" spans="1:54" ht="28.5" customHeight="1" thickBot="1" x14ac:dyDescent="0.35">
      <c r="A128" s="367"/>
      <c r="B128" s="367"/>
      <c r="C128" s="367"/>
      <c r="D128" s="367"/>
      <c r="E128" s="367"/>
      <c r="F128" s="367"/>
      <c r="G128" s="367"/>
      <c r="H128" s="367"/>
      <c r="I128" s="367"/>
      <c r="J128" s="367"/>
      <c r="K128" s="367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B128" s="20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</row>
    <row r="129" spans="2:5" x14ac:dyDescent="0.3">
      <c r="B129" s="381" t="s">
        <v>2</v>
      </c>
      <c r="C129" s="382" t="s">
        <v>25</v>
      </c>
      <c r="D129" s="382" t="s">
        <v>26</v>
      </c>
      <c r="E129" s="383" t="s">
        <v>0</v>
      </c>
    </row>
    <row r="130" spans="2:5" x14ac:dyDescent="0.3">
      <c r="B130" s="10" t="s">
        <v>3</v>
      </c>
      <c r="C130" s="136">
        <v>46.2105294391977</v>
      </c>
      <c r="D130" s="136">
        <v>53.487818594257099</v>
      </c>
      <c r="E130" s="137">
        <v>49.960695162425203</v>
      </c>
    </row>
    <row r="131" spans="2:5" x14ac:dyDescent="0.3">
      <c r="B131" s="10" t="s">
        <v>4</v>
      </c>
      <c r="C131" s="136">
        <v>106.535744779943</v>
      </c>
      <c r="D131" s="136">
        <v>129.800886176022</v>
      </c>
      <c r="E131" s="137">
        <v>118.48229374168</v>
      </c>
    </row>
    <row r="132" spans="2:5" x14ac:dyDescent="0.3">
      <c r="B132" s="10" t="s">
        <v>5</v>
      </c>
      <c r="C132" s="138">
        <v>51.667546180457101</v>
      </c>
      <c r="D132" s="138">
        <v>59.492161576693</v>
      </c>
      <c r="E132" s="139">
        <v>55.6721729334324</v>
      </c>
    </row>
    <row r="133" spans="2:5" x14ac:dyDescent="0.3">
      <c r="B133" s="10" t="s">
        <v>212</v>
      </c>
      <c r="C133" s="138">
        <v>91.405421223982103</v>
      </c>
      <c r="D133" s="138">
        <v>108.96623818425</v>
      </c>
      <c r="E133" s="139">
        <v>100.32534300512501</v>
      </c>
    </row>
    <row r="134" spans="2:5" x14ac:dyDescent="0.3">
      <c r="B134" s="10" t="s">
        <v>213</v>
      </c>
      <c r="C134" s="138">
        <v>29.941574184886999</v>
      </c>
      <c r="D134" s="138">
        <v>38.309624922044399</v>
      </c>
      <c r="E134" s="139">
        <v>34.209524139244202</v>
      </c>
    </row>
    <row r="135" spans="2:5" x14ac:dyDescent="0.3">
      <c r="B135" s="10" t="s">
        <v>6</v>
      </c>
      <c r="C135" s="138">
        <v>51.866731301775999</v>
      </c>
      <c r="D135" s="138">
        <v>68.675755939524805</v>
      </c>
      <c r="E135" s="139">
        <v>60.463437155708597</v>
      </c>
    </row>
    <row r="136" spans="2:5" x14ac:dyDescent="0.3">
      <c r="B136" s="10" t="s">
        <v>22</v>
      </c>
      <c r="C136" s="138">
        <v>38.048641459243797</v>
      </c>
      <c r="D136" s="138">
        <v>52.305704787862602</v>
      </c>
      <c r="E136" s="139">
        <v>45.368873439794903</v>
      </c>
    </row>
    <row r="137" spans="2:5" x14ac:dyDescent="0.3">
      <c r="B137" s="10" t="s">
        <v>7</v>
      </c>
      <c r="C137" s="138">
        <v>84.785092994126401</v>
      </c>
      <c r="D137" s="138">
        <v>114.349770580986</v>
      </c>
      <c r="E137" s="139">
        <v>100.102326822975</v>
      </c>
    </row>
    <row r="138" spans="2:5" x14ac:dyDescent="0.3">
      <c r="B138" s="10" t="s">
        <v>8</v>
      </c>
      <c r="C138" s="138">
        <v>63.365840896136397</v>
      </c>
      <c r="D138" s="138">
        <v>81.382568228058304</v>
      </c>
      <c r="E138" s="139">
        <v>72.622667477096897</v>
      </c>
    </row>
    <row r="139" spans="2:5" x14ac:dyDescent="0.3">
      <c r="B139" s="10" t="s">
        <v>9</v>
      </c>
      <c r="C139" s="138">
        <v>29.360328814785699</v>
      </c>
      <c r="D139" s="138">
        <v>36.752801869593803</v>
      </c>
      <c r="E139" s="139">
        <v>33.190126299351299</v>
      </c>
    </row>
    <row r="140" spans="2:5" x14ac:dyDescent="0.3">
      <c r="B140" s="10" t="s">
        <v>10</v>
      </c>
      <c r="C140" s="138">
        <v>46.220841039152603</v>
      </c>
      <c r="D140" s="138">
        <v>66.523633053767597</v>
      </c>
      <c r="E140" s="139">
        <v>56.773942382558999</v>
      </c>
    </row>
    <row r="141" spans="2:5" x14ac:dyDescent="0.3">
      <c r="B141" s="10" t="s">
        <v>11</v>
      </c>
      <c r="C141" s="138">
        <v>22.007409642809002</v>
      </c>
      <c r="D141" s="138">
        <v>29.184265663233301</v>
      </c>
      <c r="E141" s="139">
        <v>25.698322280039999</v>
      </c>
    </row>
    <row r="142" spans="2:5" x14ac:dyDescent="0.3">
      <c r="B142" s="10" t="s">
        <v>12</v>
      </c>
      <c r="C142" s="138">
        <v>44.256457094867301</v>
      </c>
      <c r="D142" s="138">
        <v>54.014973080779598</v>
      </c>
      <c r="E142" s="139">
        <v>49.331036304680701</v>
      </c>
    </row>
    <row r="143" spans="2:5" x14ac:dyDescent="0.3">
      <c r="B143" s="10" t="s">
        <v>13</v>
      </c>
      <c r="C143" s="138" t="s">
        <v>215</v>
      </c>
      <c r="D143" s="138" t="s">
        <v>215</v>
      </c>
      <c r="E143" s="139" t="s">
        <v>215</v>
      </c>
    </row>
    <row r="144" spans="2:5" x14ac:dyDescent="0.3">
      <c r="B144" s="10" t="s">
        <v>14</v>
      </c>
      <c r="C144" s="138">
        <v>1.28175343870415</v>
      </c>
      <c r="D144" s="138">
        <v>1.7087776802566299</v>
      </c>
      <c r="E144" s="139">
        <v>1.4985645329210999</v>
      </c>
    </row>
    <row r="145" spans="1:54" x14ac:dyDescent="0.3">
      <c r="B145" s="10" t="s">
        <v>15</v>
      </c>
      <c r="C145" s="138">
        <v>57.553708874634602</v>
      </c>
      <c r="D145" s="138">
        <v>58.7510917504353</v>
      </c>
      <c r="E145" s="139">
        <v>58.169529149949803</v>
      </c>
    </row>
    <row r="146" spans="1:54" x14ac:dyDescent="0.3">
      <c r="B146" s="10" t="s">
        <v>16</v>
      </c>
      <c r="C146" s="138">
        <v>56.098786330878298</v>
      </c>
      <c r="D146" s="138">
        <v>63.220373118262202</v>
      </c>
      <c r="E146" s="139">
        <v>59.778480823400699</v>
      </c>
    </row>
    <row r="147" spans="1:54" x14ac:dyDescent="0.3">
      <c r="B147" s="10" t="s">
        <v>17</v>
      </c>
      <c r="C147" s="138">
        <v>46.991615221597698</v>
      </c>
      <c r="D147" s="138">
        <v>49.331467727412999</v>
      </c>
      <c r="E147" s="139">
        <v>48.183329170936702</v>
      </c>
    </row>
    <row r="148" spans="1:54" x14ac:dyDescent="0.3">
      <c r="B148" s="10" t="s">
        <v>18</v>
      </c>
      <c r="C148" s="138">
        <v>93.957726883281197</v>
      </c>
      <c r="D148" s="138">
        <v>118.191174100113</v>
      </c>
      <c r="E148" s="139">
        <v>106.407646265922</v>
      </c>
    </row>
    <row r="149" spans="1:54" x14ac:dyDescent="0.3">
      <c r="B149" s="10" t="s">
        <v>19</v>
      </c>
      <c r="C149" s="138">
        <v>64.215089020379196</v>
      </c>
      <c r="D149" s="138">
        <v>60.693831123477302</v>
      </c>
      <c r="E149" s="139">
        <v>62.394717204700903</v>
      </c>
    </row>
    <row r="150" spans="1:54" ht="14.5" thickBot="1" x14ac:dyDescent="0.35">
      <c r="B150" s="11" t="s">
        <v>20</v>
      </c>
      <c r="C150" s="140">
        <v>25.8751361849273</v>
      </c>
      <c r="D150" s="140">
        <v>36.4194278275424</v>
      </c>
      <c r="E150" s="141">
        <v>31.277565474995999</v>
      </c>
    </row>
    <row r="151" spans="1:54" s="88" customFormat="1" ht="14.5" thickBot="1" x14ac:dyDescent="0.35">
      <c r="A151"/>
      <c r="B151" s="410" t="s">
        <v>1</v>
      </c>
      <c r="C151" s="411">
        <v>50.728947916059603</v>
      </c>
      <c r="D151" s="411">
        <v>59.809239426832697</v>
      </c>
      <c r="E151" s="412">
        <v>55.4028137945213</v>
      </c>
      <c r="F151"/>
      <c r="G151"/>
      <c r="H151"/>
      <c r="I151"/>
      <c r="J151"/>
      <c r="K151"/>
      <c r="L151"/>
      <c r="M151"/>
      <c r="N151"/>
    </row>
    <row r="152" spans="1:54" x14ac:dyDescent="0.3"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54" ht="28.5" customHeight="1" x14ac:dyDescent="0.3">
      <c r="A153" s="478" t="s">
        <v>232</v>
      </c>
      <c r="B153" s="478"/>
      <c r="C153" s="478"/>
      <c r="D153" s="478"/>
      <c r="E153" s="478"/>
      <c r="F153" s="478"/>
      <c r="G153" s="478"/>
      <c r="H153" s="478"/>
      <c r="I153" s="478"/>
      <c r="J153" s="478"/>
      <c r="K153" s="47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B153" s="20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</row>
    <row r="154" spans="1:54" ht="14.5" thickBot="1" x14ac:dyDescent="0.35">
      <c r="AB154" s="20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</row>
    <row r="155" spans="1:54" x14ac:dyDescent="0.3">
      <c r="B155" s="546" t="s">
        <v>2</v>
      </c>
      <c r="C155" s="559" t="s">
        <v>25</v>
      </c>
      <c r="D155" s="560"/>
      <c r="E155" s="560"/>
      <c r="F155" s="560"/>
      <c r="G155" s="560"/>
      <c r="H155" s="560"/>
      <c r="I155" s="560"/>
      <c r="J155" s="561"/>
      <c r="K155" s="546" t="s">
        <v>26</v>
      </c>
      <c r="L155" s="547"/>
      <c r="M155" s="547"/>
      <c r="N155" s="547"/>
      <c r="O155" s="547"/>
      <c r="P155" s="547"/>
      <c r="Q155" s="547"/>
      <c r="R155" s="548"/>
      <c r="S155" s="559" t="s">
        <v>0</v>
      </c>
      <c r="T155" s="560"/>
      <c r="U155" s="560"/>
      <c r="V155" s="560"/>
      <c r="W155" s="560"/>
      <c r="X155" s="560"/>
      <c r="Y155" s="560"/>
      <c r="Z155" s="561" t="s">
        <v>0</v>
      </c>
      <c r="AB155" s="1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</row>
    <row r="156" spans="1:54" x14ac:dyDescent="0.3">
      <c r="B156" s="562"/>
      <c r="C156" s="549" t="s">
        <v>27</v>
      </c>
      <c r="D156" s="550"/>
      <c r="E156" s="550"/>
      <c r="F156" s="550"/>
      <c r="G156" s="550"/>
      <c r="H156" s="550"/>
      <c r="I156" s="550"/>
      <c r="J156" s="563" t="s">
        <v>0</v>
      </c>
      <c r="K156" s="549" t="s">
        <v>27</v>
      </c>
      <c r="L156" s="550"/>
      <c r="M156" s="550"/>
      <c r="N156" s="550"/>
      <c r="O156" s="550"/>
      <c r="P156" s="550"/>
      <c r="Q156" s="550"/>
      <c r="R156" s="563" t="s">
        <v>0</v>
      </c>
      <c r="S156" s="549" t="s">
        <v>27</v>
      </c>
      <c r="T156" s="550"/>
      <c r="U156" s="550"/>
      <c r="V156" s="550"/>
      <c r="W156" s="550"/>
      <c r="X156" s="550"/>
      <c r="Y156" s="550"/>
      <c r="Z156" s="558"/>
      <c r="AB156" s="1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</row>
    <row r="157" spans="1:54" x14ac:dyDescent="0.3">
      <c r="B157" s="562"/>
      <c r="C157" s="384" t="s">
        <v>28</v>
      </c>
      <c r="D157" s="385" t="s">
        <v>29</v>
      </c>
      <c r="E157" s="385" t="s">
        <v>30</v>
      </c>
      <c r="F157" s="385" t="s">
        <v>31</v>
      </c>
      <c r="G157" s="385" t="s">
        <v>32</v>
      </c>
      <c r="H157" s="380" t="s">
        <v>74</v>
      </c>
      <c r="I157" s="380" t="s">
        <v>75</v>
      </c>
      <c r="J157" s="564"/>
      <c r="K157" s="384" t="s">
        <v>28</v>
      </c>
      <c r="L157" s="385" t="s">
        <v>29</v>
      </c>
      <c r="M157" s="385" t="s">
        <v>30</v>
      </c>
      <c r="N157" s="385" t="s">
        <v>31</v>
      </c>
      <c r="O157" s="385" t="s">
        <v>32</v>
      </c>
      <c r="P157" s="380" t="s">
        <v>74</v>
      </c>
      <c r="Q157" s="380" t="s">
        <v>75</v>
      </c>
      <c r="R157" s="564"/>
      <c r="S157" s="384" t="s">
        <v>28</v>
      </c>
      <c r="T157" s="385" t="s">
        <v>29</v>
      </c>
      <c r="U157" s="385" t="s">
        <v>30</v>
      </c>
      <c r="V157" s="385" t="s">
        <v>31</v>
      </c>
      <c r="W157" s="385" t="s">
        <v>32</v>
      </c>
      <c r="X157" s="380" t="s">
        <v>74</v>
      </c>
      <c r="Y157" s="380" t="s">
        <v>75</v>
      </c>
      <c r="Z157" s="558"/>
      <c r="AB157" s="1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</row>
    <row r="158" spans="1:54" x14ac:dyDescent="0.3">
      <c r="B158" s="13" t="s">
        <v>3</v>
      </c>
      <c r="C158" s="14">
        <v>1436</v>
      </c>
      <c r="D158" s="12">
        <v>1446</v>
      </c>
      <c r="E158" s="12">
        <v>1245</v>
      </c>
      <c r="F158" s="12">
        <v>1485</v>
      </c>
      <c r="G158" s="12">
        <v>1446</v>
      </c>
      <c r="H158" s="12">
        <v>696</v>
      </c>
      <c r="I158" s="12">
        <v>500</v>
      </c>
      <c r="J158" s="28">
        <v>8254</v>
      </c>
      <c r="K158" s="14">
        <v>1598</v>
      </c>
      <c r="L158" s="12">
        <v>1386</v>
      </c>
      <c r="M158" s="12">
        <v>1315</v>
      </c>
      <c r="N158" s="12">
        <v>1850</v>
      </c>
      <c r="O158" s="12">
        <v>1968</v>
      </c>
      <c r="P158" s="12">
        <v>1172</v>
      </c>
      <c r="Q158" s="12">
        <v>869</v>
      </c>
      <c r="R158" s="28">
        <v>10158</v>
      </c>
      <c r="S158" s="197">
        <v>3034</v>
      </c>
      <c r="T158" s="198">
        <v>2832</v>
      </c>
      <c r="U158" s="198">
        <v>2560</v>
      </c>
      <c r="V158" s="198">
        <v>3335</v>
      </c>
      <c r="W158" s="198">
        <v>3414</v>
      </c>
      <c r="X158" s="198">
        <v>1868</v>
      </c>
      <c r="Y158" s="198">
        <v>1369</v>
      </c>
      <c r="Z158" s="199">
        <v>18412</v>
      </c>
      <c r="AB158" s="1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</row>
    <row r="159" spans="1:54" x14ac:dyDescent="0.3">
      <c r="B159" s="13" t="s">
        <v>4</v>
      </c>
      <c r="C159" s="14">
        <v>70</v>
      </c>
      <c r="D159" s="12">
        <v>97</v>
      </c>
      <c r="E159" s="12">
        <v>56</v>
      </c>
      <c r="F159" s="12">
        <v>105</v>
      </c>
      <c r="G159" s="12">
        <v>112</v>
      </c>
      <c r="H159" s="12">
        <v>75</v>
      </c>
      <c r="I159" s="12">
        <v>34</v>
      </c>
      <c r="J159" s="28">
        <v>549</v>
      </c>
      <c r="K159" s="14">
        <v>89</v>
      </c>
      <c r="L159" s="12">
        <v>86</v>
      </c>
      <c r="M159" s="12">
        <v>77</v>
      </c>
      <c r="N159" s="12">
        <v>120</v>
      </c>
      <c r="O159" s="12">
        <v>152</v>
      </c>
      <c r="P159" s="12">
        <v>122</v>
      </c>
      <c r="Q159" s="12">
        <v>60</v>
      </c>
      <c r="R159" s="28">
        <v>706</v>
      </c>
      <c r="S159" s="197">
        <v>159</v>
      </c>
      <c r="T159" s="198">
        <v>183</v>
      </c>
      <c r="U159" s="198">
        <v>133</v>
      </c>
      <c r="V159" s="198">
        <v>225</v>
      </c>
      <c r="W159" s="198">
        <v>264</v>
      </c>
      <c r="X159" s="198">
        <v>197</v>
      </c>
      <c r="Y159" s="198">
        <v>94</v>
      </c>
      <c r="Z159" s="199">
        <v>1255</v>
      </c>
      <c r="AB159" s="1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</row>
    <row r="160" spans="1:54" x14ac:dyDescent="0.3">
      <c r="B160" s="13" t="s">
        <v>5</v>
      </c>
      <c r="C160" s="14">
        <v>4405</v>
      </c>
      <c r="D160" s="12">
        <v>4401</v>
      </c>
      <c r="E160" s="12">
        <v>3151</v>
      </c>
      <c r="F160" s="12">
        <v>3138</v>
      </c>
      <c r="G160" s="12">
        <v>3412</v>
      </c>
      <c r="H160" s="12">
        <v>1958</v>
      </c>
      <c r="I160" s="12">
        <v>1124</v>
      </c>
      <c r="J160" s="28">
        <v>21589</v>
      </c>
      <c r="K160" s="14">
        <v>5369</v>
      </c>
      <c r="L160" s="12">
        <v>4298</v>
      </c>
      <c r="M160" s="12">
        <v>3629</v>
      </c>
      <c r="N160" s="12">
        <v>3984</v>
      </c>
      <c r="O160" s="12">
        <v>4133</v>
      </c>
      <c r="P160" s="12">
        <v>2616</v>
      </c>
      <c r="Q160" s="12">
        <v>2031</v>
      </c>
      <c r="R160" s="28">
        <v>26060</v>
      </c>
      <c r="S160" s="197">
        <v>9774</v>
      </c>
      <c r="T160" s="198">
        <v>8699</v>
      </c>
      <c r="U160" s="198">
        <v>6780</v>
      </c>
      <c r="V160" s="198">
        <v>7122</v>
      </c>
      <c r="W160" s="198">
        <v>7545</v>
      </c>
      <c r="X160" s="198">
        <v>4574</v>
      </c>
      <c r="Y160" s="198">
        <v>3155</v>
      </c>
      <c r="Z160" s="199">
        <v>47649</v>
      </c>
      <c r="AB160" s="1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</row>
    <row r="161" spans="2:54" x14ac:dyDescent="0.3">
      <c r="B161" s="13" t="s">
        <v>23</v>
      </c>
      <c r="C161" s="14">
        <v>244</v>
      </c>
      <c r="D161" s="12">
        <v>348</v>
      </c>
      <c r="E161" s="12">
        <v>304</v>
      </c>
      <c r="F161" s="12">
        <v>329</v>
      </c>
      <c r="G161" s="12">
        <v>334</v>
      </c>
      <c r="H161" s="12">
        <v>196</v>
      </c>
      <c r="I161" s="12">
        <v>244</v>
      </c>
      <c r="J161" s="28">
        <v>1999</v>
      </c>
      <c r="K161" s="14">
        <v>265</v>
      </c>
      <c r="L161" s="12">
        <v>390</v>
      </c>
      <c r="M161" s="12">
        <v>380</v>
      </c>
      <c r="N161" s="12">
        <v>377</v>
      </c>
      <c r="O161" s="12">
        <v>432</v>
      </c>
      <c r="P161" s="12">
        <v>285</v>
      </c>
      <c r="Q161" s="12">
        <v>331</v>
      </c>
      <c r="R161" s="28">
        <v>2460</v>
      </c>
      <c r="S161" s="197">
        <v>509</v>
      </c>
      <c r="T161" s="198">
        <v>738</v>
      </c>
      <c r="U161" s="198">
        <v>684</v>
      </c>
      <c r="V161" s="198">
        <v>706</v>
      </c>
      <c r="W161" s="198">
        <v>766</v>
      </c>
      <c r="X161" s="198">
        <v>481</v>
      </c>
      <c r="Y161" s="198">
        <v>575</v>
      </c>
      <c r="Z161" s="199">
        <v>4459</v>
      </c>
      <c r="AB161" s="1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</row>
    <row r="162" spans="2:54" x14ac:dyDescent="0.3">
      <c r="B162" s="13" t="s">
        <v>24</v>
      </c>
      <c r="C162" s="14">
        <v>86</v>
      </c>
      <c r="D162" s="12">
        <v>95</v>
      </c>
      <c r="E162" s="12">
        <v>100</v>
      </c>
      <c r="F162" s="12">
        <v>119</v>
      </c>
      <c r="G162" s="12">
        <v>131</v>
      </c>
      <c r="H162" s="12">
        <v>76</v>
      </c>
      <c r="I162" s="12">
        <v>71</v>
      </c>
      <c r="J162" s="28">
        <v>678</v>
      </c>
      <c r="K162" s="14">
        <v>115</v>
      </c>
      <c r="L162" s="12">
        <v>129</v>
      </c>
      <c r="M162" s="12">
        <v>116</v>
      </c>
      <c r="N162" s="12">
        <v>151</v>
      </c>
      <c r="O162" s="12">
        <v>166</v>
      </c>
      <c r="P162" s="12">
        <v>107</v>
      </c>
      <c r="Q162" s="12">
        <v>119</v>
      </c>
      <c r="R162" s="28">
        <v>903</v>
      </c>
      <c r="S162" s="197">
        <v>201</v>
      </c>
      <c r="T162" s="198">
        <v>224</v>
      </c>
      <c r="U162" s="198">
        <v>216</v>
      </c>
      <c r="V162" s="198">
        <v>270</v>
      </c>
      <c r="W162" s="198">
        <v>297</v>
      </c>
      <c r="X162" s="198">
        <v>183</v>
      </c>
      <c r="Y162" s="198">
        <v>190</v>
      </c>
      <c r="Z162" s="199">
        <v>1581</v>
      </c>
      <c r="AB162" s="1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</row>
    <row r="163" spans="2:54" x14ac:dyDescent="0.3">
      <c r="B163" s="13" t="s">
        <v>6</v>
      </c>
      <c r="C163" s="14">
        <v>1451</v>
      </c>
      <c r="D163" s="12">
        <v>1717</v>
      </c>
      <c r="E163" s="12">
        <v>1471</v>
      </c>
      <c r="F163" s="12">
        <v>1882</v>
      </c>
      <c r="G163" s="12">
        <v>1936</v>
      </c>
      <c r="H163" s="12">
        <v>1177</v>
      </c>
      <c r="I163" s="12">
        <v>937</v>
      </c>
      <c r="J163" s="28">
        <v>10571</v>
      </c>
      <c r="K163" s="14">
        <v>1918</v>
      </c>
      <c r="L163" s="12">
        <v>1935</v>
      </c>
      <c r="M163" s="12">
        <v>1907</v>
      </c>
      <c r="N163" s="12">
        <v>2504</v>
      </c>
      <c r="O163" s="12">
        <v>2803</v>
      </c>
      <c r="P163" s="12">
        <v>1877</v>
      </c>
      <c r="Q163" s="12">
        <v>1708</v>
      </c>
      <c r="R163" s="28">
        <v>14652</v>
      </c>
      <c r="S163" s="197">
        <v>3369</v>
      </c>
      <c r="T163" s="198">
        <v>3652</v>
      </c>
      <c r="U163" s="198">
        <v>3378</v>
      </c>
      <c r="V163" s="198">
        <v>4386</v>
      </c>
      <c r="W163" s="198">
        <v>4739</v>
      </c>
      <c r="X163" s="198">
        <v>3054</v>
      </c>
      <c r="Y163" s="198">
        <v>2645</v>
      </c>
      <c r="Z163" s="199">
        <v>25223</v>
      </c>
      <c r="AB163" s="1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</row>
    <row r="164" spans="2:54" x14ac:dyDescent="0.3">
      <c r="B164" s="13" t="s">
        <v>22</v>
      </c>
      <c r="C164" s="14">
        <v>185</v>
      </c>
      <c r="D164" s="12">
        <v>292</v>
      </c>
      <c r="E164" s="12">
        <v>231</v>
      </c>
      <c r="F164" s="12">
        <v>297</v>
      </c>
      <c r="G164" s="12">
        <v>305</v>
      </c>
      <c r="H164" s="12">
        <v>167</v>
      </c>
      <c r="I164" s="12">
        <v>125</v>
      </c>
      <c r="J164" s="28">
        <v>1602</v>
      </c>
      <c r="K164" s="14">
        <v>267</v>
      </c>
      <c r="L164" s="12">
        <v>275</v>
      </c>
      <c r="M164" s="12">
        <v>359</v>
      </c>
      <c r="N164" s="12">
        <v>445</v>
      </c>
      <c r="O164" s="12">
        <v>480</v>
      </c>
      <c r="P164" s="12">
        <v>280</v>
      </c>
      <c r="Q164" s="12">
        <v>218</v>
      </c>
      <c r="R164" s="28">
        <v>2324</v>
      </c>
      <c r="S164" s="197">
        <v>452</v>
      </c>
      <c r="T164" s="198">
        <v>567</v>
      </c>
      <c r="U164" s="198">
        <v>590</v>
      </c>
      <c r="V164" s="198">
        <v>742</v>
      </c>
      <c r="W164" s="198">
        <v>785</v>
      </c>
      <c r="X164" s="198">
        <v>447</v>
      </c>
      <c r="Y164" s="198">
        <v>343</v>
      </c>
      <c r="Z164" s="199">
        <v>3926</v>
      </c>
      <c r="AB164" s="1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</row>
    <row r="165" spans="2:54" x14ac:dyDescent="0.3">
      <c r="B165" s="13" t="s">
        <v>7</v>
      </c>
      <c r="C165" s="14">
        <v>514</v>
      </c>
      <c r="D165" s="12">
        <v>552</v>
      </c>
      <c r="E165" s="12">
        <v>454</v>
      </c>
      <c r="F165" s="12">
        <v>567</v>
      </c>
      <c r="G165" s="12">
        <v>692</v>
      </c>
      <c r="H165" s="12">
        <v>373</v>
      </c>
      <c r="I165" s="12">
        <v>246</v>
      </c>
      <c r="J165" s="28">
        <v>3398</v>
      </c>
      <c r="K165" s="14">
        <v>670</v>
      </c>
      <c r="L165" s="12">
        <v>619</v>
      </c>
      <c r="M165" s="12">
        <v>569</v>
      </c>
      <c r="N165" s="12">
        <v>921</v>
      </c>
      <c r="O165" s="12">
        <v>1058</v>
      </c>
      <c r="P165" s="12">
        <v>609</v>
      </c>
      <c r="Q165" s="12">
        <v>481</v>
      </c>
      <c r="R165" s="28">
        <v>4927</v>
      </c>
      <c r="S165" s="197">
        <v>1184</v>
      </c>
      <c r="T165" s="198">
        <v>1171</v>
      </c>
      <c r="U165" s="198">
        <v>1023</v>
      </c>
      <c r="V165" s="198">
        <v>1488</v>
      </c>
      <c r="W165" s="198">
        <v>1750</v>
      </c>
      <c r="X165" s="198">
        <v>982</v>
      </c>
      <c r="Y165" s="198">
        <v>727</v>
      </c>
      <c r="Z165" s="199">
        <v>8325</v>
      </c>
      <c r="AB165" s="1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</row>
    <row r="166" spans="2:54" x14ac:dyDescent="0.3">
      <c r="B166" s="13" t="s">
        <v>8</v>
      </c>
      <c r="C166" s="14">
        <v>1943</v>
      </c>
      <c r="D166" s="12">
        <v>2150</v>
      </c>
      <c r="E166" s="12">
        <v>1794</v>
      </c>
      <c r="F166" s="12">
        <v>2163</v>
      </c>
      <c r="G166" s="12">
        <v>1893</v>
      </c>
      <c r="H166" s="12">
        <v>1048</v>
      </c>
      <c r="I166" s="12">
        <v>804</v>
      </c>
      <c r="J166" s="28">
        <v>11795</v>
      </c>
      <c r="K166" s="14">
        <v>2534</v>
      </c>
      <c r="L166" s="12">
        <v>2332</v>
      </c>
      <c r="M166" s="12">
        <v>2199</v>
      </c>
      <c r="N166" s="12">
        <v>2907</v>
      </c>
      <c r="O166" s="12">
        <v>2895</v>
      </c>
      <c r="P166" s="12">
        <v>1663</v>
      </c>
      <c r="Q166" s="12">
        <v>1478</v>
      </c>
      <c r="R166" s="28">
        <v>16008</v>
      </c>
      <c r="S166" s="197">
        <v>4477</v>
      </c>
      <c r="T166" s="198">
        <v>4482</v>
      </c>
      <c r="U166" s="198">
        <v>3993</v>
      </c>
      <c r="V166" s="198">
        <v>5070</v>
      </c>
      <c r="W166" s="198">
        <v>4788</v>
      </c>
      <c r="X166" s="198">
        <v>2711</v>
      </c>
      <c r="Y166" s="198">
        <v>2282</v>
      </c>
      <c r="Z166" s="199">
        <v>27803</v>
      </c>
      <c r="AB166" s="1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</row>
    <row r="167" spans="2:54" x14ac:dyDescent="0.3">
      <c r="B167" s="13" t="s">
        <v>9</v>
      </c>
      <c r="C167" s="14">
        <v>785</v>
      </c>
      <c r="D167" s="12">
        <v>811</v>
      </c>
      <c r="E167" s="12">
        <v>669</v>
      </c>
      <c r="F167" s="12">
        <v>846</v>
      </c>
      <c r="G167" s="12">
        <v>723</v>
      </c>
      <c r="H167" s="12">
        <v>372</v>
      </c>
      <c r="I167" s="12">
        <v>290</v>
      </c>
      <c r="J167" s="28">
        <v>4496</v>
      </c>
      <c r="K167" s="14">
        <v>1106</v>
      </c>
      <c r="L167" s="12">
        <v>832</v>
      </c>
      <c r="M167" s="12">
        <v>812</v>
      </c>
      <c r="N167" s="12">
        <v>1096</v>
      </c>
      <c r="O167" s="12">
        <v>1062</v>
      </c>
      <c r="P167" s="12">
        <v>667</v>
      </c>
      <c r="Q167" s="12">
        <v>475</v>
      </c>
      <c r="R167" s="28">
        <v>6050</v>
      </c>
      <c r="S167" s="197">
        <v>1891</v>
      </c>
      <c r="T167" s="198">
        <v>1643</v>
      </c>
      <c r="U167" s="198">
        <v>1481</v>
      </c>
      <c r="V167" s="198">
        <v>1942</v>
      </c>
      <c r="W167" s="198">
        <v>1785</v>
      </c>
      <c r="X167" s="198">
        <v>1039</v>
      </c>
      <c r="Y167" s="198">
        <v>765</v>
      </c>
      <c r="Z167" s="199">
        <v>10546</v>
      </c>
      <c r="AB167" s="1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</row>
    <row r="168" spans="2:54" x14ac:dyDescent="0.3">
      <c r="B168" s="13" t="s">
        <v>10</v>
      </c>
      <c r="C168" s="14">
        <v>291</v>
      </c>
      <c r="D168" s="12">
        <v>273</v>
      </c>
      <c r="E168" s="12">
        <v>243</v>
      </c>
      <c r="F168" s="12">
        <v>355</v>
      </c>
      <c r="G168" s="12">
        <v>293</v>
      </c>
      <c r="H168" s="12">
        <v>131</v>
      </c>
      <c r="I168" s="12">
        <v>56</v>
      </c>
      <c r="J168" s="28">
        <v>1642</v>
      </c>
      <c r="K168" s="14">
        <v>416</v>
      </c>
      <c r="L168" s="12">
        <v>342</v>
      </c>
      <c r="M168" s="12">
        <v>348</v>
      </c>
      <c r="N168" s="12">
        <v>542</v>
      </c>
      <c r="O168" s="12">
        <v>551</v>
      </c>
      <c r="P168" s="12">
        <v>258</v>
      </c>
      <c r="Q168" s="12">
        <v>101</v>
      </c>
      <c r="R168" s="28">
        <v>2558</v>
      </c>
      <c r="S168" s="197">
        <v>707</v>
      </c>
      <c r="T168" s="198">
        <v>615</v>
      </c>
      <c r="U168" s="198">
        <v>591</v>
      </c>
      <c r="V168" s="198">
        <v>897</v>
      </c>
      <c r="W168" s="198">
        <v>844</v>
      </c>
      <c r="X168" s="198">
        <v>389</v>
      </c>
      <c r="Y168" s="198">
        <v>157</v>
      </c>
      <c r="Z168" s="199">
        <v>4200</v>
      </c>
      <c r="AB168" s="1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</row>
    <row r="169" spans="2:54" x14ac:dyDescent="0.3">
      <c r="B169" s="13" t="s">
        <v>11</v>
      </c>
      <c r="C169" s="14">
        <v>188</v>
      </c>
      <c r="D169" s="12">
        <v>206</v>
      </c>
      <c r="E169" s="12">
        <v>179</v>
      </c>
      <c r="F169" s="12">
        <v>226</v>
      </c>
      <c r="G169" s="12">
        <v>252</v>
      </c>
      <c r="H169" s="12">
        <v>155</v>
      </c>
      <c r="I169" s="12">
        <v>165</v>
      </c>
      <c r="J169" s="28">
        <v>1371</v>
      </c>
      <c r="K169" s="14">
        <v>231</v>
      </c>
      <c r="L169" s="12">
        <v>237</v>
      </c>
      <c r="M169" s="12">
        <v>249</v>
      </c>
      <c r="N169" s="12">
        <v>325</v>
      </c>
      <c r="O169" s="12">
        <v>383</v>
      </c>
      <c r="P169" s="12">
        <v>231</v>
      </c>
      <c r="Q169" s="12">
        <v>269</v>
      </c>
      <c r="R169" s="28">
        <v>1925</v>
      </c>
      <c r="S169" s="197">
        <v>419</v>
      </c>
      <c r="T169" s="198">
        <v>443</v>
      </c>
      <c r="U169" s="198">
        <v>428</v>
      </c>
      <c r="V169" s="198">
        <v>551</v>
      </c>
      <c r="W169" s="198">
        <v>635</v>
      </c>
      <c r="X169" s="198">
        <v>386</v>
      </c>
      <c r="Y169" s="198">
        <v>434</v>
      </c>
      <c r="Z169" s="199">
        <v>3296</v>
      </c>
      <c r="AB169" s="1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</row>
    <row r="170" spans="2:54" x14ac:dyDescent="0.3">
      <c r="B170" s="13" t="s">
        <v>12</v>
      </c>
      <c r="C170" s="14">
        <v>1296</v>
      </c>
      <c r="D170" s="12">
        <v>1677</v>
      </c>
      <c r="E170" s="12">
        <v>1557</v>
      </c>
      <c r="F170" s="12">
        <v>2231</v>
      </c>
      <c r="G170" s="12">
        <v>2204</v>
      </c>
      <c r="H170" s="12">
        <v>1017</v>
      </c>
      <c r="I170" s="12">
        <v>431</v>
      </c>
      <c r="J170" s="28">
        <v>10413</v>
      </c>
      <c r="K170" s="14">
        <v>1763</v>
      </c>
      <c r="L170" s="12">
        <v>1565</v>
      </c>
      <c r="M170" s="12">
        <v>1750</v>
      </c>
      <c r="N170" s="12">
        <v>2893</v>
      </c>
      <c r="O170" s="12">
        <v>3325</v>
      </c>
      <c r="P170" s="12">
        <v>1722</v>
      </c>
      <c r="Q170" s="12">
        <v>751</v>
      </c>
      <c r="R170" s="28">
        <v>13769</v>
      </c>
      <c r="S170" s="197">
        <v>3059</v>
      </c>
      <c r="T170" s="198">
        <v>3242</v>
      </c>
      <c r="U170" s="198">
        <v>3307</v>
      </c>
      <c r="V170" s="198">
        <v>5124</v>
      </c>
      <c r="W170" s="198">
        <v>5529</v>
      </c>
      <c r="X170" s="198">
        <v>2739</v>
      </c>
      <c r="Y170" s="198">
        <v>1182</v>
      </c>
      <c r="Z170" s="199">
        <v>24182</v>
      </c>
      <c r="AB170" s="1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</row>
    <row r="171" spans="2:54" x14ac:dyDescent="0.3">
      <c r="B171" s="13" t="s">
        <v>13</v>
      </c>
      <c r="C171" s="14" t="s">
        <v>215</v>
      </c>
      <c r="D171" s="12" t="s">
        <v>215</v>
      </c>
      <c r="E171" s="12" t="s">
        <v>215</v>
      </c>
      <c r="F171" s="12" t="s">
        <v>215</v>
      </c>
      <c r="G171" s="12" t="s">
        <v>215</v>
      </c>
      <c r="H171" s="12" t="s">
        <v>215</v>
      </c>
      <c r="I171" s="12" t="s">
        <v>215</v>
      </c>
      <c r="J171" s="28" t="s">
        <v>215</v>
      </c>
      <c r="K171" s="14" t="s">
        <v>215</v>
      </c>
      <c r="L171" s="12" t="s">
        <v>215</v>
      </c>
      <c r="M171" s="12" t="s">
        <v>215</v>
      </c>
      <c r="N171" s="12" t="s">
        <v>215</v>
      </c>
      <c r="O171" s="12" t="s">
        <v>215</v>
      </c>
      <c r="P171" s="12" t="s">
        <v>215</v>
      </c>
      <c r="Q171" s="12" t="s">
        <v>215</v>
      </c>
      <c r="R171" s="28" t="s">
        <v>215</v>
      </c>
      <c r="S171" s="197" t="s">
        <v>215</v>
      </c>
      <c r="T171" s="198" t="s">
        <v>215</v>
      </c>
      <c r="U171" s="198" t="s">
        <v>215</v>
      </c>
      <c r="V171" s="198" t="s">
        <v>215</v>
      </c>
      <c r="W171" s="198" t="s">
        <v>215</v>
      </c>
      <c r="X171" s="198" t="s">
        <v>215</v>
      </c>
      <c r="Y171" s="198" t="s">
        <v>215</v>
      </c>
      <c r="Z171" s="199" t="s">
        <v>215</v>
      </c>
      <c r="AB171" s="1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</row>
    <row r="172" spans="2:54" x14ac:dyDescent="0.3">
      <c r="B172" s="13" t="s">
        <v>14</v>
      </c>
      <c r="C172" s="14">
        <v>5</v>
      </c>
      <c r="D172" s="12">
        <v>4</v>
      </c>
      <c r="E172" s="12">
        <v>3</v>
      </c>
      <c r="F172" s="12">
        <v>2</v>
      </c>
      <c r="G172" s="12">
        <v>1</v>
      </c>
      <c r="H172" s="12" t="s">
        <v>215</v>
      </c>
      <c r="I172" s="12">
        <v>1</v>
      </c>
      <c r="J172" s="28">
        <v>16</v>
      </c>
      <c r="K172" s="14" t="s">
        <v>215</v>
      </c>
      <c r="L172" s="12">
        <v>4</v>
      </c>
      <c r="M172" s="12">
        <v>2</v>
      </c>
      <c r="N172" s="12">
        <v>5</v>
      </c>
      <c r="O172" s="12">
        <v>4</v>
      </c>
      <c r="P172" s="12">
        <v>1</v>
      </c>
      <c r="Q172" s="12">
        <v>6</v>
      </c>
      <c r="R172" s="28">
        <v>22</v>
      </c>
      <c r="S172" s="197">
        <v>5</v>
      </c>
      <c r="T172" s="198">
        <v>8</v>
      </c>
      <c r="U172" s="198">
        <v>5</v>
      </c>
      <c r="V172" s="198">
        <v>7</v>
      </c>
      <c r="W172" s="198">
        <v>5</v>
      </c>
      <c r="X172" s="198">
        <v>1</v>
      </c>
      <c r="Y172" s="198">
        <v>7</v>
      </c>
      <c r="Z172" s="199">
        <v>38</v>
      </c>
      <c r="AB172" s="1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</row>
    <row r="173" spans="2:54" x14ac:dyDescent="0.3">
      <c r="B173" s="13" t="s">
        <v>15</v>
      </c>
      <c r="C173" s="14">
        <v>1218</v>
      </c>
      <c r="D173" s="12">
        <v>1365</v>
      </c>
      <c r="E173" s="12">
        <v>1611</v>
      </c>
      <c r="F173" s="12">
        <v>2389</v>
      </c>
      <c r="G173" s="12">
        <v>2736</v>
      </c>
      <c r="H173" s="12">
        <v>1120</v>
      </c>
      <c r="I173" s="12">
        <v>582</v>
      </c>
      <c r="J173" s="28">
        <v>11021</v>
      </c>
      <c r="K173" s="14">
        <v>951</v>
      </c>
      <c r="L173" s="12">
        <v>1071</v>
      </c>
      <c r="M173" s="12">
        <v>1390</v>
      </c>
      <c r="N173" s="12">
        <v>2530</v>
      </c>
      <c r="O173" s="12">
        <v>3466</v>
      </c>
      <c r="P173" s="12">
        <v>1499</v>
      </c>
      <c r="Q173" s="12">
        <v>1006</v>
      </c>
      <c r="R173" s="28">
        <v>11913</v>
      </c>
      <c r="S173" s="197">
        <v>2169</v>
      </c>
      <c r="T173" s="198">
        <v>2436</v>
      </c>
      <c r="U173" s="198">
        <v>3001</v>
      </c>
      <c r="V173" s="198">
        <v>4919</v>
      </c>
      <c r="W173" s="198">
        <v>6202</v>
      </c>
      <c r="X173" s="198">
        <v>2619</v>
      </c>
      <c r="Y173" s="198">
        <v>1588</v>
      </c>
      <c r="Z173" s="199">
        <v>22934</v>
      </c>
      <c r="AB173" s="1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</row>
    <row r="174" spans="2:54" x14ac:dyDescent="0.3">
      <c r="B174" s="13" t="s">
        <v>16</v>
      </c>
      <c r="C174" s="14">
        <v>907</v>
      </c>
      <c r="D174" s="12">
        <v>1107</v>
      </c>
      <c r="E174" s="12">
        <v>1142</v>
      </c>
      <c r="F174" s="12">
        <v>1658</v>
      </c>
      <c r="G174" s="12">
        <v>1885</v>
      </c>
      <c r="H174" s="12">
        <v>1258</v>
      </c>
      <c r="I174" s="12">
        <v>1110</v>
      </c>
      <c r="J174" s="28">
        <v>9067</v>
      </c>
      <c r="K174" s="14">
        <v>1066</v>
      </c>
      <c r="L174" s="12">
        <v>1110</v>
      </c>
      <c r="M174" s="12">
        <v>1363</v>
      </c>
      <c r="N174" s="12">
        <v>2080</v>
      </c>
      <c r="O174" s="12">
        <v>2567</v>
      </c>
      <c r="P174" s="12">
        <v>1501</v>
      </c>
      <c r="Q174" s="12">
        <v>1237</v>
      </c>
      <c r="R174" s="28">
        <v>10924</v>
      </c>
      <c r="S174" s="197">
        <v>1973</v>
      </c>
      <c r="T174" s="198">
        <v>2217</v>
      </c>
      <c r="U174" s="198">
        <v>2505</v>
      </c>
      <c r="V174" s="198">
        <v>3738</v>
      </c>
      <c r="W174" s="198">
        <v>4452</v>
      </c>
      <c r="X174" s="198">
        <v>2759</v>
      </c>
      <c r="Y174" s="198">
        <v>2347</v>
      </c>
      <c r="Z174" s="199">
        <v>19991</v>
      </c>
      <c r="AB174" s="1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</row>
    <row r="175" spans="2:54" x14ac:dyDescent="0.3">
      <c r="B175" s="13" t="s">
        <v>17</v>
      </c>
      <c r="C175" s="14">
        <v>176</v>
      </c>
      <c r="D175" s="12">
        <v>145</v>
      </c>
      <c r="E175" s="12">
        <v>137</v>
      </c>
      <c r="F175" s="12">
        <v>173</v>
      </c>
      <c r="G175" s="12">
        <v>175</v>
      </c>
      <c r="H175" s="12">
        <v>128</v>
      </c>
      <c r="I175" s="12">
        <v>137</v>
      </c>
      <c r="J175" s="28">
        <v>1071</v>
      </c>
      <c r="K175" s="14">
        <v>144</v>
      </c>
      <c r="L175" s="12">
        <v>78</v>
      </c>
      <c r="M175" s="12">
        <v>146</v>
      </c>
      <c r="N175" s="12">
        <v>168</v>
      </c>
      <c r="O175" s="12">
        <v>265</v>
      </c>
      <c r="P175" s="12">
        <v>151</v>
      </c>
      <c r="Q175" s="12">
        <v>215</v>
      </c>
      <c r="R175" s="28">
        <v>1167</v>
      </c>
      <c r="S175" s="197">
        <v>320</v>
      </c>
      <c r="T175" s="198">
        <v>223</v>
      </c>
      <c r="U175" s="198">
        <v>283</v>
      </c>
      <c r="V175" s="198">
        <v>341</v>
      </c>
      <c r="W175" s="198">
        <v>440</v>
      </c>
      <c r="X175" s="198">
        <v>279</v>
      </c>
      <c r="Y175" s="198">
        <v>352</v>
      </c>
      <c r="Z175" s="199">
        <v>2238</v>
      </c>
      <c r="AB175" s="1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</row>
    <row r="176" spans="2:54" x14ac:dyDescent="0.3">
      <c r="B176" s="13" t="s">
        <v>18</v>
      </c>
      <c r="C176" s="14">
        <v>541</v>
      </c>
      <c r="D176" s="12">
        <v>639</v>
      </c>
      <c r="E176" s="12">
        <v>883</v>
      </c>
      <c r="F176" s="12">
        <v>1360</v>
      </c>
      <c r="G176" s="12">
        <v>1856</v>
      </c>
      <c r="H176" s="12">
        <v>1024</v>
      </c>
      <c r="I176" s="12">
        <v>869</v>
      </c>
      <c r="J176" s="28">
        <v>7172</v>
      </c>
      <c r="K176" s="14">
        <v>514</v>
      </c>
      <c r="L176" s="12">
        <v>623</v>
      </c>
      <c r="M176" s="12">
        <v>991</v>
      </c>
      <c r="N176" s="12">
        <v>1758</v>
      </c>
      <c r="O176" s="12">
        <v>2600</v>
      </c>
      <c r="P176" s="12">
        <v>1479</v>
      </c>
      <c r="Q176" s="12">
        <v>1567</v>
      </c>
      <c r="R176" s="28">
        <v>9532</v>
      </c>
      <c r="S176" s="197">
        <v>1055</v>
      </c>
      <c r="T176" s="198">
        <v>1262</v>
      </c>
      <c r="U176" s="198">
        <v>1874</v>
      </c>
      <c r="V176" s="198">
        <v>3118</v>
      </c>
      <c r="W176" s="198">
        <v>4456</v>
      </c>
      <c r="X176" s="198">
        <v>2503</v>
      </c>
      <c r="Y176" s="198">
        <v>2436</v>
      </c>
      <c r="Z176" s="199">
        <v>16704</v>
      </c>
      <c r="AB176" s="1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</row>
    <row r="177" spans="1:54" x14ac:dyDescent="0.3">
      <c r="B177" s="13" t="s">
        <v>19</v>
      </c>
      <c r="C177" s="14">
        <v>1210</v>
      </c>
      <c r="D177" s="12">
        <v>1645</v>
      </c>
      <c r="E177" s="12">
        <v>1892</v>
      </c>
      <c r="F177" s="12">
        <v>2417</v>
      </c>
      <c r="G177" s="12">
        <v>2583</v>
      </c>
      <c r="H177" s="12">
        <v>1415</v>
      </c>
      <c r="I177" s="12">
        <v>1466</v>
      </c>
      <c r="J177" s="28">
        <v>12628</v>
      </c>
      <c r="K177" s="14">
        <v>896</v>
      </c>
      <c r="L177" s="12">
        <v>1068</v>
      </c>
      <c r="M177" s="12">
        <v>1322</v>
      </c>
      <c r="N177" s="12">
        <v>2196</v>
      </c>
      <c r="O177" s="12">
        <v>2901</v>
      </c>
      <c r="P177" s="12">
        <v>1816</v>
      </c>
      <c r="Q177" s="12">
        <v>2575</v>
      </c>
      <c r="R177" s="28">
        <v>12774</v>
      </c>
      <c r="S177" s="197">
        <v>2106</v>
      </c>
      <c r="T177" s="198">
        <v>2713</v>
      </c>
      <c r="U177" s="198">
        <v>3214</v>
      </c>
      <c r="V177" s="198">
        <v>4613</v>
      </c>
      <c r="W177" s="198">
        <v>5484</v>
      </c>
      <c r="X177" s="198">
        <v>3231</v>
      </c>
      <c r="Y177" s="198">
        <v>4041</v>
      </c>
      <c r="Z177" s="199">
        <v>25402</v>
      </c>
      <c r="AA177" s="88"/>
      <c r="AB177" s="1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</row>
    <row r="178" spans="1:54" x14ac:dyDescent="0.3">
      <c r="B178" s="13" t="s">
        <v>20</v>
      </c>
      <c r="C178" s="14">
        <v>213</v>
      </c>
      <c r="D178" s="12">
        <v>265</v>
      </c>
      <c r="E178" s="12">
        <v>249</v>
      </c>
      <c r="F178" s="12">
        <v>331</v>
      </c>
      <c r="G178" s="12">
        <v>376</v>
      </c>
      <c r="H178" s="12">
        <v>199</v>
      </c>
      <c r="I178" s="12">
        <v>115</v>
      </c>
      <c r="J178" s="28">
        <v>1748</v>
      </c>
      <c r="K178" s="14">
        <v>247</v>
      </c>
      <c r="L178" s="12">
        <v>261</v>
      </c>
      <c r="M178" s="12">
        <v>369</v>
      </c>
      <c r="N178" s="12">
        <v>475</v>
      </c>
      <c r="O178" s="12">
        <v>600</v>
      </c>
      <c r="P178" s="12">
        <v>401</v>
      </c>
      <c r="Q178" s="12">
        <v>232</v>
      </c>
      <c r="R178" s="28">
        <v>2585</v>
      </c>
      <c r="S178" s="197">
        <v>460</v>
      </c>
      <c r="T178" s="198">
        <v>526</v>
      </c>
      <c r="U178" s="198">
        <v>618</v>
      </c>
      <c r="V178" s="198">
        <v>806</v>
      </c>
      <c r="W178" s="198">
        <v>976</v>
      </c>
      <c r="X178" s="198">
        <v>600</v>
      </c>
      <c r="Y178" s="198">
        <v>347</v>
      </c>
      <c r="Z178" s="199">
        <v>4333</v>
      </c>
    </row>
    <row r="179" spans="1:54" ht="14.5" thickBot="1" x14ac:dyDescent="0.35">
      <c r="B179" s="15" t="s">
        <v>1</v>
      </c>
      <c r="C179" s="16">
        <v>17164</v>
      </c>
      <c r="D179" s="17">
        <v>19235</v>
      </c>
      <c r="E179" s="17">
        <v>17371</v>
      </c>
      <c r="F179" s="17">
        <v>22073</v>
      </c>
      <c r="G179" s="17">
        <v>23345</v>
      </c>
      <c r="H179" s="17">
        <v>12585</v>
      </c>
      <c r="I179" s="17">
        <v>9307</v>
      </c>
      <c r="J179" s="18">
        <v>121080</v>
      </c>
      <c r="K179" s="16">
        <v>20159</v>
      </c>
      <c r="L179" s="17">
        <v>18641</v>
      </c>
      <c r="M179" s="17">
        <v>19293</v>
      </c>
      <c r="N179" s="17">
        <v>27327</v>
      </c>
      <c r="O179" s="17">
        <v>31811</v>
      </c>
      <c r="P179" s="17">
        <v>18457</v>
      </c>
      <c r="Q179" s="17">
        <v>15729</v>
      </c>
      <c r="R179" s="18">
        <v>151417</v>
      </c>
      <c r="S179" s="200">
        <v>37323</v>
      </c>
      <c r="T179" s="201">
        <v>37876</v>
      </c>
      <c r="U179" s="201">
        <v>36664</v>
      </c>
      <c r="V179" s="201">
        <v>49400</v>
      </c>
      <c r="W179" s="201">
        <v>55156</v>
      </c>
      <c r="X179" s="201">
        <v>31042</v>
      </c>
      <c r="Y179" s="201">
        <v>25036</v>
      </c>
      <c r="Z179" s="202">
        <v>272497</v>
      </c>
    </row>
    <row r="180" spans="1:54" ht="38.25" customHeight="1" x14ac:dyDescent="0.3">
      <c r="Z180" s="70"/>
    </row>
    <row r="181" spans="1:54" x14ac:dyDescent="0.3">
      <c r="Z181" s="70"/>
    </row>
    <row r="182" spans="1:54" ht="41.25" customHeight="1" x14ac:dyDescent="0.3">
      <c r="A182" s="478" t="s">
        <v>233</v>
      </c>
      <c r="B182" s="478"/>
      <c r="C182" s="478"/>
      <c r="D182" s="478"/>
      <c r="E182" s="478"/>
      <c r="F182" s="478"/>
      <c r="G182" s="478"/>
      <c r="H182" s="478"/>
      <c r="I182" s="478"/>
      <c r="J182" s="478"/>
      <c r="K182" s="478"/>
      <c r="Z182" s="70"/>
    </row>
    <row r="183" spans="1:54" ht="14.5" thickBot="1" x14ac:dyDescent="0.35">
      <c r="Z183" s="70"/>
    </row>
    <row r="184" spans="1:54" ht="82.5" customHeight="1" thickBot="1" x14ac:dyDescent="0.35">
      <c r="B184" s="6" t="s">
        <v>2</v>
      </c>
      <c r="C184" s="7" t="s">
        <v>35</v>
      </c>
      <c r="D184" s="7" t="s">
        <v>36</v>
      </c>
      <c r="E184" s="7" t="s">
        <v>37</v>
      </c>
      <c r="F184" s="7" t="s">
        <v>177</v>
      </c>
      <c r="G184" s="7" t="s">
        <v>38</v>
      </c>
      <c r="H184" s="7" t="s">
        <v>39</v>
      </c>
      <c r="I184" s="7" t="s">
        <v>178</v>
      </c>
      <c r="J184" s="7" t="s">
        <v>40</v>
      </c>
      <c r="K184" s="7" t="s">
        <v>41</v>
      </c>
      <c r="L184" s="7" t="s">
        <v>42</v>
      </c>
      <c r="M184" s="7" t="s">
        <v>43</v>
      </c>
      <c r="N184" s="8" t="s">
        <v>44</v>
      </c>
      <c r="O184" s="8" t="s">
        <v>0</v>
      </c>
    </row>
    <row r="185" spans="1:54" x14ac:dyDescent="0.3">
      <c r="B185" s="551" t="s">
        <v>3</v>
      </c>
      <c r="C185" s="24" t="s">
        <v>25</v>
      </c>
      <c r="D185" s="129">
        <v>0.968551198568112</v>
      </c>
      <c r="E185" s="130">
        <v>3.3703342285433702</v>
      </c>
      <c r="F185" s="130">
        <v>0.99654400777528296</v>
      </c>
      <c r="G185" s="130">
        <v>0.78939721964221798</v>
      </c>
      <c r="H185" s="130">
        <v>3.4599112180063201</v>
      </c>
      <c r="I185" s="130">
        <v>26.912286771774099</v>
      </c>
      <c r="J185" s="130">
        <v>1.7411527326860301</v>
      </c>
      <c r="K185" s="130">
        <v>0.83978427621512597</v>
      </c>
      <c r="L185" s="130">
        <v>1.05812818803106</v>
      </c>
      <c r="M185" s="130">
        <v>2.3401988497194801</v>
      </c>
      <c r="N185" s="131">
        <v>3.7342407482365898</v>
      </c>
      <c r="O185" s="131">
        <v>46.2105294391977</v>
      </c>
    </row>
    <row r="186" spans="1:54" x14ac:dyDescent="0.3">
      <c r="B186" s="552"/>
      <c r="C186" s="25" t="s">
        <v>26</v>
      </c>
      <c r="D186" s="132">
        <v>0.30013837958974798</v>
      </c>
      <c r="E186" s="132">
        <v>5.22346092198298</v>
      </c>
      <c r="F186" s="132">
        <v>0.93200865241026898</v>
      </c>
      <c r="G186" s="132">
        <v>1.08471063500856</v>
      </c>
      <c r="H186" s="132">
        <v>5.8342688523761499</v>
      </c>
      <c r="I186" s="132">
        <v>29.8190112915218</v>
      </c>
      <c r="J186" s="132">
        <v>1.9956569449914801</v>
      </c>
      <c r="K186" s="132">
        <v>1.01625802211967</v>
      </c>
      <c r="L186" s="132">
        <v>0.74244757056411304</v>
      </c>
      <c r="M186" s="132">
        <v>1.4796295555213901</v>
      </c>
      <c r="N186" s="131">
        <v>5.0602277681710097</v>
      </c>
      <c r="O186" s="131">
        <v>53.487818594257099</v>
      </c>
    </row>
    <row r="187" spans="1:54" ht="14.5" thickBot="1" x14ac:dyDescent="0.35">
      <c r="B187" s="553"/>
      <c r="C187" s="26" t="s">
        <v>0</v>
      </c>
      <c r="D187" s="133">
        <v>0.62410166670420297</v>
      </c>
      <c r="E187" s="133">
        <v>4.3252958988108698</v>
      </c>
      <c r="F187" s="134">
        <v>0.96328735513040098</v>
      </c>
      <c r="G187" s="134">
        <v>0.94157947107112405</v>
      </c>
      <c r="H187" s="134">
        <v>4.6834759857889301</v>
      </c>
      <c r="I187" s="134">
        <v>28.4101932625783</v>
      </c>
      <c r="J187" s="134">
        <v>1.87230500011261</v>
      </c>
      <c r="K187" s="134">
        <v>0.93072552904148598</v>
      </c>
      <c r="L187" s="134">
        <v>0.89545021744516096</v>
      </c>
      <c r="M187" s="134">
        <v>1.8967263696793</v>
      </c>
      <c r="N187" s="135">
        <v>4.4175544060628003</v>
      </c>
      <c r="O187" s="135">
        <v>49.960695162425203</v>
      </c>
    </row>
    <row r="188" spans="1:54" x14ac:dyDescent="0.3">
      <c r="B188" s="551" t="s">
        <v>4</v>
      </c>
      <c r="C188" s="24" t="s">
        <v>25</v>
      </c>
      <c r="D188" s="129">
        <v>5.2394628580299596</v>
      </c>
      <c r="E188" s="130">
        <v>15.524334394162899</v>
      </c>
      <c r="F188" s="130">
        <v>5.2394628580299596</v>
      </c>
      <c r="G188" s="130">
        <v>1.94054179927036</v>
      </c>
      <c r="H188" s="130">
        <v>21.540013971901001</v>
      </c>
      <c r="I188" s="130">
        <v>0.97027089963517799</v>
      </c>
      <c r="J188" s="130">
        <v>9.3146006364977101</v>
      </c>
      <c r="K188" s="130">
        <v>5.8216253978110704</v>
      </c>
      <c r="L188" s="130">
        <v>3.8810835985407102</v>
      </c>
      <c r="M188" s="130">
        <v>15.7183885740899</v>
      </c>
      <c r="N188" s="131">
        <v>21.3459597919739</v>
      </c>
      <c r="O188" s="131">
        <v>106.535744779943</v>
      </c>
    </row>
    <row r="189" spans="1:54" x14ac:dyDescent="0.3">
      <c r="B189" s="552"/>
      <c r="C189" s="25" t="s">
        <v>26</v>
      </c>
      <c r="D189" s="132">
        <v>0.73541578569984001</v>
      </c>
      <c r="E189" s="132">
        <v>23.533305142394902</v>
      </c>
      <c r="F189" s="132">
        <v>4.9640565534739203</v>
      </c>
      <c r="G189" s="132">
        <v>2.7578091963743998</v>
      </c>
      <c r="H189" s="132">
        <v>34.196834035042599</v>
      </c>
      <c r="I189" s="132">
        <v>1.8385394642496</v>
      </c>
      <c r="J189" s="132">
        <v>11.215090731922601</v>
      </c>
      <c r="K189" s="132">
        <v>6.4348881248736003</v>
      </c>
      <c r="L189" s="132">
        <v>2.57395524994944</v>
      </c>
      <c r="M189" s="132">
        <v>12.502068356897301</v>
      </c>
      <c r="N189" s="131">
        <v>29.0489235351437</v>
      </c>
      <c r="O189" s="131">
        <v>129.800886176022</v>
      </c>
    </row>
    <row r="190" spans="1:54" ht="14.5" thickBot="1" x14ac:dyDescent="0.35">
      <c r="B190" s="553"/>
      <c r="C190" s="26" t="s">
        <v>0</v>
      </c>
      <c r="D190" s="133">
        <v>2.92665426772278</v>
      </c>
      <c r="E190" s="133">
        <v>19.636906054398001</v>
      </c>
      <c r="F190" s="134">
        <v>5.0980429179687103</v>
      </c>
      <c r="G190" s="134">
        <v>2.3602050546151498</v>
      </c>
      <c r="H190" s="134">
        <v>28.039236048827899</v>
      </c>
      <c r="I190" s="134">
        <v>1.4161230327690899</v>
      </c>
      <c r="J190" s="134">
        <v>10.290494038122</v>
      </c>
      <c r="K190" s="134">
        <v>6.1365331419993803</v>
      </c>
      <c r="L190" s="134">
        <v>3.2098788742765998</v>
      </c>
      <c r="M190" s="134">
        <v>14.066822125506301</v>
      </c>
      <c r="N190" s="135">
        <v>25.301398185474401</v>
      </c>
      <c r="O190" s="135">
        <v>118.48229374168</v>
      </c>
    </row>
    <row r="191" spans="1:54" ht="14.25" customHeight="1" x14ac:dyDescent="0.3">
      <c r="B191" s="551" t="s">
        <v>5</v>
      </c>
      <c r="C191" s="24" t="s">
        <v>25</v>
      </c>
      <c r="D191" s="129">
        <v>2.0797210445512602</v>
      </c>
      <c r="E191" s="130">
        <v>1.2492685676130699</v>
      </c>
      <c r="F191" s="130">
        <v>3.3337760817720499</v>
      </c>
      <c r="G191" s="130">
        <v>0.73950955439164601</v>
      </c>
      <c r="H191" s="130">
        <v>8.19204273360066</v>
      </c>
      <c r="I191" s="130">
        <v>20.177362631313802</v>
      </c>
      <c r="J191" s="130">
        <v>2.8335900077660501</v>
      </c>
      <c r="K191" s="130">
        <v>1.4144017690791699</v>
      </c>
      <c r="L191" s="130">
        <v>0.96208039115029698</v>
      </c>
      <c r="M191" s="130">
        <v>5.41110389151945</v>
      </c>
      <c r="N191" s="131">
        <v>5.2746895076996303</v>
      </c>
      <c r="O191" s="131">
        <v>51.667546180457101</v>
      </c>
    </row>
    <row r="192" spans="1:54" x14ac:dyDescent="0.3">
      <c r="B192" s="552"/>
      <c r="C192" s="25" t="s">
        <v>26</v>
      </c>
      <c r="D192" s="132">
        <v>0.32645353436174601</v>
      </c>
      <c r="E192" s="132">
        <v>2.17787882364409</v>
      </c>
      <c r="F192" s="132">
        <v>2.7417531102689301</v>
      </c>
      <c r="G192" s="132">
        <v>0.74422274267083299</v>
      </c>
      <c r="H192" s="132">
        <v>14.0854427063774</v>
      </c>
      <c r="I192" s="132">
        <v>21.965985368033</v>
      </c>
      <c r="J192" s="132">
        <v>3.8512385487291301</v>
      </c>
      <c r="K192" s="132">
        <v>1.5432348897100701</v>
      </c>
      <c r="L192" s="132">
        <v>0.77846612040108598</v>
      </c>
      <c r="M192" s="132">
        <v>3.76220576663047</v>
      </c>
      <c r="N192" s="131">
        <v>7.5152799658662</v>
      </c>
      <c r="O192" s="131">
        <v>59.492161576693</v>
      </c>
    </row>
    <row r="193" spans="2:15" ht="14.5" thickBot="1" x14ac:dyDescent="0.35">
      <c r="B193" s="557"/>
      <c r="C193" s="27" t="s">
        <v>0</v>
      </c>
      <c r="D193" s="133">
        <v>1.1824012887706701</v>
      </c>
      <c r="E193" s="133">
        <v>1.72452994291058</v>
      </c>
      <c r="F193" s="134">
        <v>3.0307795880149402</v>
      </c>
      <c r="G193" s="134">
        <v>0.74192175728199095</v>
      </c>
      <c r="H193" s="134">
        <v>11.208276248198599</v>
      </c>
      <c r="I193" s="134">
        <v>21.092777140490998</v>
      </c>
      <c r="J193" s="134">
        <v>3.3544210474907001</v>
      </c>
      <c r="K193" s="134">
        <v>1.4803383724035999</v>
      </c>
      <c r="L193" s="134">
        <v>0.86810687505593598</v>
      </c>
      <c r="M193" s="134">
        <v>4.56720023498473</v>
      </c>
      <c r="N193" s="135">
        <v>6.4214204378296396</v>
      </c>
      <c r="O193" s="135">
        <v>55.6721729334324</v>
      </c>
    </row>
    <row r="194" spans="2:15" x14ac:dyDescent="0.3">
      <c r="B194" s="551" t="s">
        <v>23</v>
      </c>
      <c r="C194" s="24" t="s">
        <v>25</v>
      </c>
      <c r="D194" s="129">
        <v>0.54870688078428498</v>
      </c>
      <c r="E194" s="130">
        <v>3.3836924315030901</v>
      </c>
      <c r="F194" s="130">
        <v>9.4651936935289207</v>
      </c>
      <c r="G194" s="130">
        <v>0.82306032117642802</v>
      </c>
      <c r="H194" s="130">
        <v>4.4353806196729701</v>
      </c>
      <c r="I194" s="130">
        <v>66.8050627354867</v>
      </c>
      <c r="J194" s="130">
        <v>0.64015802758166596</v>
      </c>
      <c r="K194" s="130">
        <v>0.54870688078428498</v>
      </c>
      <c r="L194" s="130">
        <v>0.228627866993452</v>
      </c>
      <c r="M194" s="130">
        <v>2.2862786699345201</v>
      </c>
      <c r="N194" s="131">
        <v>2.2405530965358298</v>
      </c>
      <c r="O194" s="131">
        <v>91.405421223982103</v>
      </c>
    </row>
    <row r="195" spans="2:15" x14ac:dyDescent="0.3">
      <c r="B195" s="552"/>
      <c r="C195" s="25" t="s">
        <v>26</v>
      </c>
      <c r="D195" s="132">
        <v>4.4295218774085501E-2</v>
      </c>
      <c r="E195" s="132">
        <v>4.0308649084417798</v>
      </c>
      <c r="F195" s="132">
        <v>8.9919294111393597</v>
      </c>
      <c r="G195" s="132">
        <v>0.575837844063112</v>
      </c>
      <c r="H195" s="132">
        <v>5.8026736594052002</v>
      </c>
      <c r="I195" s="132">
        <v>81.458907325543294</v>
      </c>
      <c r="J195" s="132">
        <v>1.28456134444848</v>
      </c>
      <c r="K195" s="132">
        <v>1.41744700077074</v>
      </c>
      <c r="L195" s="132">
        <v>0.13288565632225699</v>
      </c>
      <c r="M195" s="132">
        <v>1.32885656322257</v>
      </c>
      <c r="N195" s="131">
        <v>3.89797925211953</v>
      </c>
      <c r="O195" s="131">
        <v>108.96623818425</v>
      </c>
    </row>
    <row r="196" spans="2:15" ht="14.5" thickBot="1" x14ac:dyDescent="0.35">
      <c r="B196" s="557"/>
      <c r="C196" s="27" t="s">
        <v>0</v>
      </c>
      <c r="D196" s="133">
        <v>0.29249371138520502</v>
      </c>
      <c r="E196" s="133">
        <v>3.7124201829660701</v>
      </c>
      <c r="F196" s="134">
        <v>9.2248016667641703</v>
      </c>
      <c r="G196" s="134">
        <v>0.69748500407241298</v>
      </c>
      <c r="H196" s="134">
        <v>5.1298897073712899</v>
      </c>
      <c r="I196" s="134">
        <v>74.248403659321298</v>
      </c>
      <c r="J196" s="134">
        <v>0.96747919919721703</v>
      </c>
      <c r="K196" s="134">
        <v>0.98997871545761795</v>
      </c>
      <c r="L196" s="134">
        <v>0.179996130083203</v>
      </c>
      <c r="M196" s="134">
        <v>1.7999613008320301</v>
      </c>
      <c r="N196" s="135">
        <v>3.0824337276748599</v>
      </c>
      <c r="O196" s="135">
        <v>100.32534300512501</v>
      </c>
    </row>
    <row r="197" spans="2:15" ht="14.25" customHeight="1" x14ac:dyDescent="0.3">
      <c r="B197" s="551" t="s">
        <v>24</v>
      </c>
      <c r="C197" s="24" t="s">
        <v>25</v>
      </c>
      <c r="D197" s="129">
        <v>1.6339797121546</v>
      </c>
      <c r="E197" s="130">
        <v>4.2836765426755798</v>
      </c>
      <c r="F197" s="130">
        <v>2.6055352166789598</v>
      </c>
      <c r="G197" s="130">
        <v>1.05987873220839</v>
      </c>
      <c r="H197" s="130">
        <v>4.2395149288335601</v>
      </c>
      <c r="I197" s="130">
        <v>0.39745452457814601</v>
      </c>
      <c r="J197" s="130">
        <v>2.69385844436299</v>
      </c>
      <c r="K197" s="130">
        <v>4.3719997703596096</v>
      </c>
      <c r="L197" s="130">
        <v>0.79490904915629201</v>
      </c>
      <c r="M197" s="130">
        <v>1.94311100904871</v>
      </c>
      <c r="N197" s="131">
        <v>5.9176562548301801</v>
      </c>
      <c r="O197" s="131">
        <v>29.941574184886999</v>
      </c>
    </row>
    <row r="198" spans="2:15" x14ac:dyDescent="0.3">
      <c r="B198" s="552"/>
      <c r="C198" s="25" t="s">
        <v>26</v>
      </c>
      <c r="D198" s="132">
        <v>0.509098005608563</v>
      </c>
      <c r="E198" s="132">
        <v>5.5576532278934803</v>
      </c>
      <c r="F198" s="132">
        <v>2.1212416900356801</v>
      </c>
      <c r="G198" s="132">
        <v>1.5697188506263999</v>
      </c>
      <c r="H198" s="132">
        <v>7.6788949179291599</v>
      </c>
      <c r="I198" s="132">
        <v>0.67879734081141696</v>
      </c>
      <c r="J198" s="132">
        <v>3.7333853744628001</v>
      </c>
      <c r="K198" s="132">
        <v>5.0485552222849197</v>
      </c>
      <c r="L198" s="132">
        <v>0.59394767320998998</v>
      </c>
      <c r="M198" s="132">
        <v>1.6969933520285401</v>
      </c>
      <c r="N198" s="131">
        <v>9.1213392671534201</v>
      </c>
      <c r="O198" s="131">
        <v>38.309624922044399</v>
      </c>
    </row>
    <row r="199" spans="2:15" ht="14.5" thickBot="1" x14ac:dyDescent="0.35">
      <c r="B199" s="557"/>
      <c r="C199" s="27" t="s">
        <v>0</v>
      </c>
      <c r="D199" s="133">
        <v>1.0602572313870799</v>
      </c>
      <c r="E199" s="133">
        <v>4.9334418113521101</v>
      </c>
      <c r="F199" s="134">
        <v>2.3585313922692102</v>
      </c>
      <c r="G199" s="134">
        <v>1.3199120635635</v>
      </c>
      <c r="H199" s="134">
        <v>5.9936990427391903</v>
      </c>
      <c r="I199" s="134">
        <v>0.54094756703422298</v>
      </c>
      <c r="J199" s="134">
        <v>3.2240474995239699</v>
      </c>
      <c r="K199" s="134">
        <v>4.7170627845384203</v>
      </c>
      <c r="L199" s="134">
        <v>0.692412885803805</v>
      </c>
      <c r="M199" s="134">
        <v>1.8175838252349901</v>
      </c>
      <c r="N199" s="135">
        <v>7.5516280357977497</v>
      </c>
      <c r="O199" s="135">
        <v>34.209524139244202</v>
      </c>
    </row>
    <row r="200" spans="2:15" x14ac:dyDescent="0.3">
      <c r="B200" s="551" t="s">
        <v>6</v>
      </c>
      <c r="C200" s="24" t="s">
        <v>25</v>
      </c>
      <c r="D200" s="129">
        <v>1.87428732922887</v>
      </c>
      <c r="E200" s="130">
        <v>4.3864211317555304</v>
      </c>
      <c r="F200" s="130">
        <v>1.83994174989745</v>
      </c>
      <c r="G200" s="130">
        <v>0.98620877794503503</v>
      </c>
      <c r="H200" s="130">
        <v>4.38151462042247</v>
      </c>
      <c r="I200" s="130">
        <v>26.3921244605291</v>
      </c>
      <c r="J200" s="130">
        <v>2.0362022032198501</v>
      </c>
      <c r="K200" s="130">
        <v>1.60933571724364</v>
      </c>
      <c r="L200" s="130">
        <v>1.08433900460623</v>
      </c>
      <c r="M200" s="130">
        <v>3.89086348711648</v>
      </c>
      <c r="N200" s="131">
        <v>3.3854928198113199</v>
      </c>
      <c r="O200" s="131">
        <v>51.866731301775999</v>
      </c>
    </row>
    <row r="201" spans="2:15" x14ac:dyDescent="0.3">
      <c r="B201" s="552"/>
      <c r="C201" s="25" t="s">
        <v>26</v>
      </c>
      <c r="D201" s="132">
        <v>0.698381629469642</v>
      </c>
      <c r="E201" s="132">
        <v>7.3353506719462498</v>
      </c>
      <c r="F201" s="132">
        <v>2.5685445164386902</v>
      </c>
      <c r="G201" s="132">
        <v>1.0921001319894399</v>
      </c>
      <c r="H201" s="132">
        <v>7.4290931725462004</v>
      </c>
      <c r="I201" s="132">
        <v>36.470519858411301</v>
      </c>
      <c r="J201" s="132">
        <v>2.8966432685385199</v>
      </c>
      <c r="K201" s="132">
        <v>1.5936225101991801</v>
      </c>
      <c r="L201" s="132">
        <v>0.65619750419966405</v>
      </c>
      <c r="M201" s="132">
        <v>3.2903617710583202</v>
      </c>
      <c r="N201" s="131">
        <v>4.64494090472762</v>
      </c>
      <c r="O201" s="131">
        <v>68.675755939524805</v>
      </c>
    </row>
    <row r="202" spans="2:15" ht="14.5" thickBot="1" x14ac:dyDescent="0.35">
      <c r="B202" s="557"/>
      <c r="C202" s="27" t="s">
        <v>0</v>
      </c>
      <c r="D202" s="133">
        <v>1.27288923322687</v>
      </c>
      <c r="E202" s="133">
        <v>5.8946038126268698</v>
      </c>
      <c r="F202" s="134">
        <v>2.2125739402418101</v>
      </c>
      <c r="G202" s="134">
        <v>1.04036521133797</v>
      </c>
      <c r="H202" s="134">
        <v>5.9401497550587203</v>
      </c>
      <c r="I202" s="134">
        <v>31.546558021215802</v>
      </c>
      <c r="J202" s="134">
        <v>2.4762609753735498</v>
      </c>
      <c r="K202" s="134">
        <v>1.60129944970913</v>
      </c>
      <c r="L202" s="134">
        <v>0.865372906205083</v>
      </c>
      <c r="M202" s="134">
        <v>3.5837465229268699</v>
      </c>
      <c r="N202" s="135">
        <v>4.0296173277860001</v>
      </c>
      <c r="O202" s="135">
        <v>60.463437155708597</v>
      </c>
    </row>
    <row r="203" spans="2:15" ht="14.25" customHeight="1" x14ac:dyDescent="0.3">
      <c r="B203" s="554" t="s">
        <v>22</v>
      </c>
      <c r="C203" s="24" t="s">
        <v>25</v>
      </c>
      <c r="D203" s="129">
        <v>1.6625498764963</v>
      </c>
      <c r="E203" s="130">
        <v>3.3488504655139701</v>
      </c>
      <c r="F203" s="130" t="s">
        <v>215</v>
      </c>
      <c r="G203" s="130">
        <v>0.76002280068402095</v>
      </c>
      <c r="H203" s="130">
        <v>4.4176325289758704</v>
      </c>
      <c r="I203" s="130">
        <v>13.5854075622269</v>
      </c>
      <c r="J203" s="130">
        <v>2.09006270188106</v>
      </c>
      <c r="K203" s="130">
        <v>1.7100513015390499</v>
      </c>
      <c r="L203" s="130">
        <v>0.498764962948888</v>
      </c>
      <c r="M203" s="130">
        <v>5.9851795553866598</v>
      </c>
      <c r="N203" s="131">
        <v>3.9901197035911098</v>
      </c>
      <c r="O203" s="131">
        <v>38.048641459243797</v>
      </c>
    </row>
    <row r="204" spans="2:15" x14ac:dyDescent="0.3">
      <c r="B204" s="555"/>
      <c r="C204" s="25" t="s">
        <v>26</v>
      </c>
      <c r="D204" s="132">
        <v>0.54016218369565505</v>
      </c>
      <c r="E204" s="132">
        <v>7.1346421763134398</v>
      </c>
      <c r="F204" s="132" t="s">
        <v>215</v>
      </c>
      <c r="G204" s="132">
        <v>0.78773651788949595</v>
      </c>
      <c r="H204" s="132">
        <v>9.5653720029438798</v>
      </c>
      <c r="I204" s="132">
        <v>17.465243939492801</v>
      </c>
      <c r="J204" s="132">
        <v>2.61078388786233</v>
      </c>
      <c r="K204" s="132">
        <v>2.5207568572463899</v>
      </c>
      <c r="L204" s="132">
        <v>0.607682456657611</v>
      </c>
      <c r="M204" s="132">
        <v>5.3566083216485803</v>
      </c>
      <c r="N204" s="131">
        <v>5.7167164441123504</v>
      </c>
      <c r="O204" s="131">
        <v>52.305704787862602</v>
      </c>
    </row>
    <row r="205" spans="2:15" ht="14.5" thickBot="1" x14ac:dyDescent="0.35">
      <c r="B205" s="556"/>
      <c r="C205" s="27" t="s">
        <v>0</v>
      </c>
      <c r="D205" s="133">
        <v>1.08626441756004</v>
      </c>
      <c r="E205" s="133">
        <v>5.2926500344946703</v>
      </c>
      <c r="F205" s="134"/>
      <c r="G205" s="134">
        <v>0.77425229762258296</v>
      </c>
      <c r="H205" s="134">
        <v>7.0607187141402701</v>
      </c>
      <c r="I205" s="134">
        <v>15.577493987988699</v>
      </c>
      <c r="J205" s="134">
        <v>2.3574249061941299</v>
      </c>
      <c r="K205" s="134">
        <v>2.1263048173515702</v>
      </c>
      <c r="L205" s="134">
        <v>0.55468821322214901</v>
      </c>
      <c r="M205" s="134">
        <v>5.6624421766427702</v>
      </c>
      <c r="N205" s="135">
        <v>4.8766338745780597</v>
      </c>
      <c r="O205" s="135">
        <v>45.368873439794903</v>
      </c>
    </row>
    <row r="206" spans="2:15" x14ac:dyDescent="0.3">
      <c r="B206" s="554" t="s">
        <v>7</v>
      </c>
      <c r="C206" s="24" t="s">
        <v>25</v>
      </c>
      <c r="D206" s="129">
        <v>1.87136020440244</v>
      </c>
      <c r="E206" s="130">
        <v>3.6928174700208101</v>
      </c>
      <c r="F206" s="130">
        <v>0.62378673480081204</v>
      </c>
      <c r="G206" s="130">
        <v>0.973107306289267</v>
      </c>
      <c r="H206" s="130">
        <v>4.5162159599578802</v>
      </c>
      <c r="I206" s="130">
        <v>56.989156091402201</v>
      </c>
      <c r="J206" s="130">
        <v>3.1688366127881298</v>
      </c>
      <c r="K206" s="130">
        <v>2.22068077589089</v>
      </c>
      <c r="L206" s="130">
        <v>0.52398085723268195</v>
      </c>
      <c r="M206" s="130">
        <v>4.3914586129977202</v>
      </c>
      <c r="N206" s="131">
        <v>5.8136923683435704</v>
      </c>
      <c r="O206" s="131">
        <v>84.785092994126401</v>
      </c>
    </row>
    <row r="207" spans="2:15" x14ac:dyDescent="0.3">
      <c r="B207" s="555"/>
      <c r="C207" s="25" t="s">
        <v>26</v>
      </c>
      <c r="D207" s="132">
        <v>0.97476971065585805</v>
      </c>
      <c r="E207" s="132">
        <v>5.4772774217805296</v>
      </c>
      <c r="F207" s="132">
        <v>0.37134084215461199</v>
      </c>
      <c r="G207" s="132">
        <v>1.2996929475411401</v>
      </c>
      <c r="H207" s="132">
        <v>7.9374105010548401</v>
      </c>
      <c r="I207" s="132">
        <v>78.283291286719205</v>
      </c>
      <c r="J207" s="132">
        <v>3.5045291978341502</v>
      </c>
      <c r="K207" s="132">
        <v>3.2956499741221799</v>
      </c>
      <c r="L207" s="132">
        <v>0.32492323688528602</v>
      </c>
      <c r="M207" s="132">
        <v>3.5045291978341502</v>
      </c>
      <c r="N207" s="131">
        <v>9.3763562644039595</v>
      </c>
      <c r="O207" s="131">
        <v>114.349770580986</v>
      </c>
    </row>
    <row r="208" spans="2:15" ht="14.5" thickBot="1" x14ac:dyDescent="0.35">
      <c r="B208" s="556"/>
      <c r="C208" s="27" t="s">
        <v>0</v>
      </c>
      <c r="D208" s="133">
        <v>1.40684351210667</v>
      </c>
      <c r="E208" s="133">
        <v>4.6173325525552302</v>
      </c>
      <c r="F208" s="134">
        <v>0.49299644441344898</v>
      </c>
      <c r="G208" s="134">
        <v>1.14230883461653</v>
      </c>
      <c r="H208" s="134">
        <v>6.2887107421520403</v>
      </c>
      <c r="I208" s="134">
        <v>68.021485025533593</v>
      </c>
      <c r="J208" s="134">
        <v>3.3427563791936299</v>
      </c>
      <c r="K208" s="134">
        <v>2.7776141136465</v>
      </c>
      <c r="L208" s="134">
        <v>0.42085062327977302</v>
      </c>
      <c r="M208" s="134">
        <v>3.93194725178531</v>
      </c>
      <c r="N208" s="135">
        <v>7.6594813436918701</v>
      </c>
      <c r="O208" s="135">
        <v>100.102326822975</v>
      </c>
    </row>
    <row r="209" spans="2:15" ht="14.25" customHeight="1" x14ac:dyDescent="0.3">
      <c r="B209" s="554" t="s">
        <v>8</v>
      </c>
      <c r="C209" s="24" t="s">
        <v>25</v>
      </c>
      <c r="D209" s="129">
        <v>1.25710951841424</v>
      </c>
      <c r="E209" s="130">
        <v>1.36992703929757</v>
      </c>
      <c r="F209" s="130" t="s">
        <v>215</v>
      </c>
      <c r="G209" s="130">
        <v>0.35456935134760498</v>
      </c>
      <c r="H209" s="130">
        <v>5.0176935478585403</v>
      </c>
      <c r="I209" s="130">
        <v>45.406366024090303</v>
      </c>
      <c r="J209" s="130">
        <v>1.8856642776213599</v>
      </c>
      <c r="K209" s="130">
        <v>0.85956206387298295</v>
      </c>
      <c r="L209" s="130">
        <v>1.03684673954679</v>
      </c>
      <c r="M209" s="130">
        <v>3.2233577395236801</v>
      </c>
      <c r="N209" s="131">
        <v>2.9547445945633801</v>
      </c>
      <c r="O209" s="131">
        <v>63.365840896136397</v>
      </c>
    </row>
    <row r="210" spans="2:15" x14ac:dyDescent="0.3">
      <c r="B210" s="555"/>
      <c r="C210" s="25" t="s">
        <v>26</v>
      </c>
      <c r="D210" s="132">
        <v>0.47788364651658399</v>
      </c>
      <c r="E210" s="132">
        <v>3.2790952340765598</v>
      </c>
      <c r="F210" s="132" t="s">
        <v>215</v>
      </c>
      <c r="G210" s="132">
        <v>0.34061919485756498</v>
      </c>
      <c r="H210" s="132">
        <v>9.1407957067746608</v>
      </c>
      <c r="I210" s="132">
        <v>57.361289187730002</v>
      </c>
      <c r="J210" s="132">
        <v>2.54193428998183</v>
      </c>
      <c r="K210" s="132">
        <v>1.1235349561719701</v>
      </c>
      <c r="L210" s="132">
        <v>0.90492860723353197</v>
      </c>
      <c r="M210" s="132">
        <v>2.16572801506452</v>
      </c>
      <c r="N210" s="131">
        <v>4.0467593896510703</v>
      </c>
      <c r="O210" s="131">
        <v>81.382568228058304</v>
      </c>
    </row>
    <row r="211" spans="2:15" ht="14.5" thickBot="1" x14ac:dyDescent="0.35">
      <c r="B211" s="556"/>
      <c r="C211" s="27" t="s">
        <v>0</v>
      </c>
      <c r="D211" s="133">
        <v>0.85675052809005503</v>
      </c>
      <c r="E211" s="133">
        <v>2.35083986366174</v>
      </c>
      <c r="F211" s="134"/>
      <c r="G211" s="134">
        <v>0.34740189096334501</v>
      </c>
      <c r="H211" s="134">
        <v>7.1361050083598503</v>
      </c>
      <c r="I211" s="134">
        <v>51.548694121516</v>
      </c>
      <c r="J211" s="134">
        <v>2.22284969330682</v>
      </c>
      <c r="K211" s="134">
        <v>0.99518887561680203</v>
      </c>
      <c r="L211" s="134">
        <v>0.96906843268722698</v>
      </c>
      <c r="M211" s="134">
        <v>2.6799574445743799</v>
      </c>
      <c r="N211" s="135">
        <v>3.5158116183207699</v>
      </c>
      <c r="O211" s="135">
        <v>72.622667477096897</v>
      </c>
    </row>
    <row r="212" spans="2:15" x14ac:dyDescent="0.3">
      <c r="B212" s="554" t="s">
        <v>9</v>
      </c>
      <c r="C212" s="24" t="s">
        <v>25</v>
      </c>
      <c r="D212" s="129">
        <v>0.97954833679222697</v>
      </c>
      <c r="E212" s="130">
        <v>1.16239735966011</v>
      </c>
      <c r="F212" s="130">
        <v>0.32651611226407601</v>
      </c>
      <c r="G212" s="130">
        <v>0.28733417879238699</v>
      </c>
      <c r="H212" s="130">
        <v>3.2521004781501901</v>
      </c>
      <c r="I212" s="130">
        <v>16.573957858524501</v>
      </c>
      <c r="J212" s="130">
        <v>0.74445673596209305</v>
      </c>
      <c r="K212" s="130">
        <v>2.7296746985276701</v>
      </c>
      <c r="L212" s="130">
        <v>0.30692514552823102</v>
      </c>
      <c r="M212" s="130">
        <v>2.1811276299240299</v>
      </c>
      <c r="N212" s="131">
        <v>0.81629028066019005</v>
      </c>
      <c r="O212" s="131">
        <v>29.360328814785699</v>
      </c>
    </row>
    <row r="213" spans="2:15" x14ac:dyDescent="0.3">
      <c r="B213" s="555"/>
      <c r="C213" s="25" t="s">
        <v>26</v>
      </c>
      <c r="D213" s="132">
        <v>0.36449059705382197</v>
      </c>
      <c r="E213" s="132">
        <v>1.9560995375221799</v>
      </c>
      <c r="F213" s="132">
        <v>0.43738871646458699</v>
      </c>
      <c r="G213" s="132">
        <v>0.43131387318035702</v>
      </c>
      <c r="H213" s="132">
        <v>5.3397872468385001</v>
      </c>
      <c r="I213" s="132">
        <v>20.4904463977091</v>
      </c>
      <c r="J213" s="132">
        <v>1.46403723149952</v>
      </c>
      <c r="K213" s="132">
        <v>2.99489773912557</v>
      </c>
      <c r="L213" s="132">
        <v>0.20046982837960201</v>
      </c>
      <c r="M213" s="132">
        <v>1.5976837837525899</v>
      </c>
      <c r="N213" s="131">
        <v>1.4761869180679801</v>
      </c>
      <c r="O213" s="131">
        <v>36.752801869593803</v>
      </c>
    </row>
    <row r="214" spans="2:15" ht="14.5" thickBot="1" x14ac:dyDescent="0.35">
      <c r="B214" s="556"/>
      <c r="C214" s="27" t="s">
        <v>0</v>
      </c>
      <c r="D214" s="133">
        <v>0.66090712335139101</v>
      </c>
      <c r="E214" s="133">
        <v>1.57358838893188</v>
      </c>
      <c r="F214" s="134">
        <v>0.38395556689937899</v>
      </c>
      <c r="G214" s="134">
        <v>0.36192532945433298</v>
      </c>
      <c r="H214" s="134">
        <v>4.33366242311841</v>
      </c>
      <c r="I214" s="134">
        <v>18.602961933952699</v>
      </c>
      <c r="J214" s="134">
        <v>1.1172477561416401</v>
      </c>
      <c r="K214" s="134">
        <v>2.8670780446338902</v>
      </c>
      <c r="L214" s="134">
        <v>0.25177414222910099</v>
      </c>
      <c r="M214" s="134">
        <v>1.8788645363846701</v>
      </c>
      <c r="N214" s="135">
        <v>1.1581610542538701</v>
      </c>
      <c r="O214" s="135">
        <v>33.190126299351299</v>
      </c>
    </row>
    <row r="215" spans="2:15" x14ac:dyDescent="0.3">
      <c r="B215" s="554" t="s">
        <v>10</v>
      </c>
      <c r="C215" s="24" t="s">
        <v>25</v>
      </c>
      <c r="D215" s="129">
        <v>1.01336801303867</v>
      </c>
      <c r="E215" s="130">
        <v>2.3645253637568899</v>
      </c>
      <c r="F215" s="130">
        <v>1.21041179335174</v>
      </c>
      <c r="G215" s="130">
        <v>1.01336801303867</v>
      </c>
      <c r="H215" s="130">
        <v>2.5615691440699702</v>
      </c>
      <c r="I215" s="130">
        <v>23.842297417882001</v>
      </c>
      <c r="J215" s="130">
        <v>1.88599046871086</v>
      </c>
      <c r="K215" s="130">
        <v>1.1541135704051499</v>
      </c>
      <c r="L215" s="130">
        <v>0.84447334419888997</v>
      </c>
      <c r="M215" s="130">
        <v>2.7867620358563401</v>
      </c>
      <c r="N215" s="131">
        <v>7.5439618748434203</v>
      </c>
      <c r="O215" s="131">
        <v>46.220841039152603</v>
      </c>
    </row>
    <row r="216" spans="2:15" x14ac:dyDescent="0.3">
      <c r="B216" s="555"/>
      <c r="C216" s="25" t="s">
        <v>26</v>
      </c>
      <c r="D216" s="132">
        <v>0.598140563032313</v>
      </c>
      <c r="E216" s="132">
        <v>4.6811000585137501</v>
      </c>
      <c r="F216" s="132">
        <v>1.40433001755413</v>
      </c>
      <c r="G216" s="132">
        <v>1.7164033547883799</v>
      </c>
      <c r="H216" s="132">
        <v>5.3052467329822504</v>
      </c>
      <c r="I216" s="132">
        <v>33.885963201352297</v>
      </c>
      <c r="J216" s="132">
        <v>2.36655614069306</v>
      </c>
      <c r="K216" s="132">
        <v>2.0804889148950001</v>
      </c>
      <c r="L216" s="132">
        <v>0.26006111436187501</v>
      </c>
      <c r="M216" s="132">
        <v>1.61237890904363</v>
      </c>
      <c r="N216" s="131">
        <v>12.6129640465509</v>
      </c>
      <c r="O216" s="131">
        <v>66.523633053767597</v>
      </c>
    </row>
    <row r="217" spans="2:15" ht="14.5" thickBot="1" x14ac:dyDescent="0.35">
      <c r="B217" s="556"/>
      <c r="C217" s="27" t="s">
        <v>0</v>
      </c>
      <c r="D217" s="133">
        <v>0.79753871442166302</v>
      </c>
      <c r="E217" s="133">
        <v>3.56864780690371</v>
      </c>
      <c r="F217" s="134">
        <v>1.3112077169305301</v>
      </c>
      <c r="G217" s="134">
        <v>1.37879574357643</v>
      </c>
      <c r="H217" s="134">
        <v>3.9876935721083102</v>
      </c>
      <c r="I217" s="134">
        <v>29.062851457738599</v>
      </c>
      <c r="J217" s="134">
        <v>2.1357816420105502</v>
      </c>
      <c r="K217" s="134">
        <v>1.6356302448308699</v>
      </c>
      <c r="L217" s="134">
        <v>0.54070421316722905</v>
      </c>
      <c r="M217" s="134">
        <v>2.1763344579981001</v>
      </c>
      <c r="N217" s="135">
        <v>10.1787568128731</v>
      </c>
      <c r="O217" s="135">
        <v>56.773942382558999</v>
      </c>
    </row>
    <row r="218" spans="2:15" x14ac:dyDescent="0.3">
      <c r="B218" s="554" t="s">
        <v>11</v>
      </c>
      <c r="C218" s="24" t="s">
        <v>25</v>
      </c>
      <c r="D218" s="129">
        <v>0.44945840262483699</v>
      </c>
      <c r="E218" s="130">
        <v>0.52971883166498701</v>
      </c>
      <c r="F218" s="130">
        <v>0.208677115504389</v>
      </c>
      <c r="G218" s="130">
        <v>0.48156257424089699</v>
      </c>
      <c r="H218" s="130">
        <v>0.99522932009785303</v>
      </c>
      <c r="I218" s="130">
        <v>16.116294151262</v>
      </c>
      <c r="J218" s="130">
        <v>0.35314588777665801</v>
      </c>
      <c r="K218" s="130">
        <v>0.417354231008777</v>
      </c>
      <c r="L218" s="130">
        <v>0.112364600656209</v>
      </c>
      <c r="M218" s="130">
        <v>0.65813551812922599</v>
      </c>
      <c r="N218" s="131">
        <v>1.68546900984314</v>
      </c>
      <c r="O218" s="131">
        <v>22.007409642809002</v>
      </c>
    </row>
    <row r="219" spans="2:15" x14ac:dyDescent="0.3">
      <c r="B219" s="555"/>
      <c r="C219" s="25" t="s">
        <v>26</v>
      </c>
      <c r="D219" s="132">
        <v>4.5481972462181698E-2</v>
      </c>
      <c r="E219" s="132">
        <v>0.95512142170581704</v>
      </c>
      <c r="F219" s="132">
        <v>0.18192788984872699</v>
      </c>
      <c r="G219" s="132">
        <v>0.59126564200836296</v>
      </c>
      <c r="H219" s="132">
        <v>1.92540350089903</v>
      </c>
      <c r="I219" s="132">
        <v>21.4523303446624</v>
      </c>
      <c r="J219" s="132">
        <v>0.65190827195793799</v>
      </c>
      <c r="K219" s="132">
        <v>0.39417709467224199</v>
      </c>
      <c r="L219" s="132">
        <v>0.121285259899151</v>
      </c>
      <c r="M219" s="132">
        <v>0.45481972462181702</v>
      </c>
      <c r="N219" s="131">
        <v>2.4105445404956298</v>
      </c>
      <c r="O219" s="131">
        <v>29.184265663233301</v>
      </c>
    </row>
    <row r="220" spans="2:15" ht="14.5" thickBot="1" x14ac:dyDescent="0.35">
      <c r="B220" s="556"/>
      <c r="C220" s="27" t="s">
        <v>0</v>
      </c>
      <c r="D220" s="133">
        <v>0.24170145348338601</v>
      </c>
      <c r="E220" s="133">
        <v>0.74849482369048503</v>
      </c>
      <c r="F220" s="134">
        <v>0.19492052700272999</v>
      </c>
      <c r="G220" s="134">
        <v>0.53798065452753596</v>
      </c>
      <c r="H220" s="134">
        <v>1.47359918414064</v>
      </c>
      <c r="I220" s="134">
        <v>18.860510192784201</v>
      </c>
      <c r="J220" s="134">
        <v>0.50679337020709903</v>
      </c>
      <c r="K220" s="134">
        <v>0.40543469616567901</v>
      </c>
      <c r="L220" s="134">
        <v>0.116952316201638</v>
      </c>
      <c r="M220" s="134">
        <v>0.55357429668775504</v>
      </c>
      <c r="N220" s="135">
        <v>2.05836076514883</v>
      </c>
      <c r="O220" s="135">
        <v>25.698322280039999</v>
      </c>
    </row>
    <row r="221" spans="2:15" x14ac:dyDescent="0.3">
      <c r="B221" s="554" t="s">
        <v>12</v>
      </c>
      <c r="C221" s="24" t="s">
        <v>25</v>
      </c>
      <c r="D221" s="129">
        <v>0.77352109778794198</v>
      </c>
      <c r="E221" s="130">
        <v>1.84880042603162</v>
      </c>
      <c r="F221" s="130">
        <v>0.64176750420867701</v>
      </c>
      <c r="G221" s="130">
        <v>0.49726356286367701</v>
      </c>
      <c r="H221" s="130">
        <v>4.9853859764025099</v>
      </c>
      <c r="I221" s="130">
        <v>21.8583461863922</v>
      </c>
      <c r="J221" s="130">
        <v>3.30234007132545</v>
      </c>
      <c r="K221" s="130">
        <v>1.5257916159663301</v>
      </c>
      <c r="L221" s="130">
        <v>0.50151367878558895</v>
      </c>
      <c r="M221" s="130">
        <v>4.3223678925842703</v>
      </c>
      <c r="N221" s="131">
        <v>3.9993590825189802</v>
      </c>
      <c r="O221" s="131">
        <v>44.256457094867301</v>
      </c>
    </row>
    <row r="222" spans="2:15" x14ac:dyDescent="0.3">
      <c r="B222" s="555"/>
      <c r="C222" s="25" t="s">
        <v>26</v>
      </c>
      <c r="D222" s="132">
        <v>0.25891409857879699</v>
      </c>
      <c r="E222" s="132">
        <v>3.0285103651944101</v>
      </c>
      <c r="F222" s="132">
        <v>0.65513112822210795</v>
      </c>
      <c r="G222" s="132">
        <v>0.44329232029400101</v>
      </c>
      <c r="H222" s="132">
        <v>8.5049358442247307</v>
      </c>
      <c r="I222" s="132">
        <v>27.503738562665799</v>
      </c>
      <c r="J222" s="132">
        <v>2.9108221385676898</v>
      </c>
      <c r="K222" s="132">
        <v>1.92224103490319</v>
      </c>
      <c r="L222" s="132">
        <v>0.41583173408109803</v>
      </c>
      <c r="M222" s="132">
        <v>2.7382127395151601</v>
      </c>
      <c r="N222" s="131">
        <v>5.6333431145326101</v>
      </c>
      <c r="O222" s="131">
        <v>54.014973080779598</v>
      </c>
    </row>
    <row r="223" spans="2:15" ht="14.5" thickBot="1" x14ac:dyDescent="0.35">
      <c r="B223" s="556"/>
      <c r="C223" s="27" t="s">
        <v>0</v>
      </c>
      <c r="D223" s="133">
        <v>0.50591750076754605</v>
      </c>
      <c r="E223" s="133">
        <v>2.4622678363968902</v>
      </c>
      <c r="F223" s="134">
        <v>0.64871679533903104</v>
      </c>
      <c r="G223" s="134">
        <v>0.46919768216344998</v>
      </c>
      <c r="H223" s="134">
        <v>6.8156063309047301</v>
      </c>
      <c r="I223" s="134">
        <v>24.794037517454701</v>
      </c>
      <c r="J223" s="134">
        <v>3.0987446922012198</v>
      </c>
      <c r="K223" s="134">
        <v>1.73195144415987</v>
      </c>
      <c r="L223" s="134">
        <v>0.456957742628751</v>
      </c>
      <c r="M223" s="134">
        <v>3.4985827170013799</v>
      </c>
      <c r="N223" s="135">
        <v>4.8490560456631302</v>
      </c>
      <c r="O223" s="135">
        <v>49.331036304680701</v>
      </c>
    </row>
    <row r="224" spans="2:15" x14ac:dyDescent="0.3">
      <c r="B224" s="554" t="s">
        <v>13</v>
      </c>
      <c r="C224" s="24" t="s">
        <v>25</v>
      </c>
      <c r="D224" s="129"/>
      <c r="E224" s="130"/>
      <c r="F224" s="130"/>
      <c r="G224" s="130"/>
      <c r="H224" s="130"/>
      <c r="I224" s="130"/>
      <c r="J224" s="130"/>
      <c r="K224" s="130"/>
      <c r="L224" s="130"/>
      <c r="M224" s="130"/>
      <c r="N224" s="131"/>
      <c r="O224" s="131"/>
    </row>
    <row r="225" spans="2:15" x14ac:dyDescent="0.3">
      <c r="B225" s="555"/>
      <c r="C225" s="25" t="s">
        <v>26</v>
      </c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1"/>
      <c r="O225" s="131"/>
    </row>
    <row r="226" spans="2:15" ht="14.5" thickBot="1" x14ac:dyDescent="0.35">
      <c r="B226" s="556"/>
      <c r="C226" s="27" t="s">
        <v>0</v>
      </c>
      <c r="D226" s="133"/>
      <c r="E226" s="133"/>
      <c r="F226" s="134"/>
      <c r="G226" s="134"/>
      <c r="H226" s="134"/>
      <c r="I226" s="134"/>
      <c r="J226" s="134"/>
      <c r="K226" s="134"/>
      <c r="L226" s="134"/>
      <c r="M226" s="134"/>
      <c r="N226" s="135"/>
      <c r="O226" s="135"/>
    </row>
    <row r="227" spans="2:15" x14ac:dyDescent="0.3">
      <c r="B227" s="554" t="s">
        <v>14</v>
      </c>
      <c r="C227" s="24" t="s">
        <v>25</v>
      </c>
      <c r="D227" s="129">
        <v>8.0109589919009197E-2</v>
      </c>
      <c r="E227" s="130">
        <v>8.0109589919009197E-2</v>
      </c>
      <c r="F227" s="130">
        <v>0.48065753951405499</v>
      </c>
      <c r="G227" s="130" t="s">
        <v>215</v>
      </c>
      <c r="H227" s="130">
        <v>8.0109589919009197E-2</v>
      </c>
      <c r="I227" s="130" t="s">
        <v>215</v>
      </c>
      <c r="J227" s="130" t="s">
        <v>215</v>
      </c>
      <c r="K227" s="130">
        <v>0.16021917983801801</v>
      </c>
      <c r="L227" s="130" t="s">
        <v>215</v>
      </c>
      <c r="M227" s="130">
        <v>0.24032876975702799</v>
      </c>
      <c r="N227" s="131">
        <v>0.16021917983801801</v>
      </c>
      <c r="O227" s="131">
        <v>1.28175343870415</v>
      </c>
    </row>
    <row r="228" spans="2:15" x14ac:dyDescent="0.3">
      <c r="B228" s="555"/>
      <c r="C228" s="25" t="s">
        <v>26</v>
      </c>
      <c r="D228" s="132" t="s">
        <v>215</v>
      </c>
      <c r="E228" s="132" t="s">
        <v>215</v>
      </c>
      <c r="F228" s="132">
        <v>0.85438884012831395</v>
      </c>
      <c r="G228" s="132">
        <v>0.23301513821681299</v>
      </c>
      <c r="H228" s="132">
        <v>0.155343425477875</v>
      </c>
      <c r="I228" s="132" t="s">
        <v>215</v>
      </c>
      <c r="J228" s="132" t="s">
        <v>215</v>
      </c>
      <c r="K228" s="132">
        <v>7.7671712738937596E-2</v>
      </c>
      <c r="L228" s="132" t="s">
        <v>215</v>
      </c>
      <c r="M228" s="132" t="s">
        <v>215</v>
      </c>
      <c r="N228" s="131">
        <v>0.38835856369468802</v>
      </c>
      <c r="O228" s="131">
        <v>1.7087776802566299</v>
      </c>
    </row>
    <row r="229" spans="2:15" ht="14.5" thickBot="1" x14ac:dyDescent="0.35">
      <c r="B229" s="556"/>
      <c r="C229" s="27" t="s">
        <v>0</v>
      </c>
      <c r="D229" s="133">
        <v>3.9435908761081502E-2</v>
      </c>
      <c r="E229" s="133">
        <v>3.9435908761081502E-2</v>
      </c>
      <c r="F229" s="134">
        <v>0.67041044893838497</v>
      </c>
      <c r="G229" s="134">
        <v>0.118307726283244</v>
      </c>
      <c r="H229" s="134">
        <v>0.118307726283244</v>
      </c>
      <c r="I229" s="134"/>
      <c r="J229" s="134"/>
      <c r="K229" s="134">
        <v>0.118307726283244</v>
      </c>
      <c r="L229" s="134"/>
      <c r="M229" s="134">
        <v>0.118307726283244</v>
      </c>
      <c r="N229" s="135">
        <v>0.27605136132757002</v>
      </c>
      <c r="O229" s="135">
        <v>1.4985645329210999</v>
      </c>
    </row>
    <row r="230" spans="2:15" x14ac:dyDescent="0.3">
      <c r="B230" s="554" t="s">
        <v>15</v>
      </c>
      <c r="C230" s="24" t="s">
        <v>25</v>
      </c>
      <c r="D230" s="129">
        <v>1.2376580168122999</v>
      </c>
      <c r="E230" s="130">
        <v>4.7782999383259899</v>
      </c>
      <c r="F230" s="130">
        <v>5.3736291109698797</v>
      </c>
      <c r="G230" s="130">
        <v>2.8199802914710701</v>
      </c>
      <c r="H230" s="130">
        <v>10.2929280638694</v>
      </c>
      <c r="I230" s="130">
        <v>8.5434958460123607</v>
      </c>
      <c r="J230" s="130">
        <v>2.0105415041043799</v>
      </c>
      <c r="K230" s="130">
        <v>2.32387264760116</v>
      </c>
      <c r="L230" s="130">
        <v>2.3134282761512699</v>
      </c>
      <c r="M230" s="130">
        <v>9.0291591184323803</v>
      </c>
      <c r="N230" s="131">
        <v>8.83071606088442</v>
      </c>
      <c r="O230" s="131">
        <v>57.553708874634602</v>
      </c>
    </row>
    <row r="231" spans="2:15" x14ac:dyDescent="0.3">
      <c r="B231" s="555"/>
      <c r="C231" s="25" t="s">
        <v>26</v>
      </c>
      <c r="D231" s="132">
        <v>0.22685723331822599</v>
      </c>
      <c r="E231" s="132">
        <v>6.0067850039478099</v>
      </c>
      <c r="F231" s="132">
        <v>2.9935291440035501</v>
      </c>
      <c r="G231" s="132">
        <v>3.7825977816321599</v>
      </c>
      <c r="H231" s="132">
        <v>14.395570957737</v>
      </c>
      <c r="I231" s="132">
        <v>9.4786870095137008</v>
      </c>
      <c r="J231" s="132">
        <v>1.5041620904795401</v>
      </c>
      <c r="K231" s="132">
        <v>2.8209203795222901</v>
      </c>
      <c r="L231" s="132">
        <v>1.49923041149436</v>
      </c>
      <c r="M231" s="132">
        <v>5.3360766619634896</v>
      </c>
      <c r="N231" s="131">
        <v>10.706675076823201</v>
      </c>
      <c r="O231" s="131">
        <v>58.7510917504353</v>
      </c>
    </row>
    <row r="232" spans="2:15" ht="14.5" thickBot="1" x14ac:dyDescent="0.35">
      <c r="B232" s="556"/>
      <c r="C232" s="27" t="s">
        <v>0</v>
      </c>
      <c r="D232" s="133">
        <v>0.717797887391462</v>
      </c>
      <c r="E232" s="133">
        <v>5.4101162325299903</v>
      </c>
      <c r="F232" s="134">
        <v>4.14953125007926</v>
      </c>
      <c r="G232" s="134">
        <v>3.31505950113301</v>
      </c>
      <c r="H232" s="134">
        <v>12.402938760933701</v>
      </c>
      <c r="I232" s="134">
        <v>9.0244695524340006</v>
      </c>
      <c r="J232" s="134">
        <v>1.7501079233219401</v>
      </c>
      <c r="K232" s="134">
        <v>2.5795068956788598</v>
      </c>
      <c r="L232" s="134">
        <v>1.8946820561180999</v>
      </c>
      <c r="M232" s="134">
        <v>7.1297874963158998</v>
      </c>
      <c r="N232" s="135">
        <v>9.7955315940135108</v>
      </c>
      <c r="O232" s="135">
        <v>58.169529149949803</v>
      </c>
    </row>
    <row r="233" spans="2:15" x14ac:dyDescent="0.3">
      <c r="B233" s="554" t="s">
        <v>16</v>
      </c>
      <c r="C233" s="24" t="s">
        <v>25</v>
      </c>
      <c r="D233" s="129">
        <v>1.06418785142948</v>
      </c>
      <c r="E233" s="130">
        <v>8.8104854676486895</v>
      </c>
      <c r="F233" s="130">
        <v>12.1206046566881</v>
      </c>
      <c r="G233" s="130">
        <v>2.8893937594044501</v>
      </c>
      <c r="H233" s="130">
        <v>7.2513265225310803</v>
      </c>
      <c r="I233" s="130">
        <v>7.7710461709036203</v>
      </c>
      <c r="J233" s="130">
        <v>2.1469371188722599</v>
      </c>
      <c r="K233" s="130">
        <v>1.7014631345529401</v>
      </c>
      <c r="L233" s="130">
        <v>2.2149956442543801</v>
      </c>
      <c r="M233" s="130">
        <v>4.9435237982101903</v>
      </c>
      <c r="N233" s="131">
        <v>5.1848222063831502</v>
      </c>
      <c r="O233" s="131">
        <v>56.098786330878298</v>
      </c>
    </row>
    <row r="234" spans="2:15" x14ac:dyDescent="0.3">
      <c r="B234" s="555"/>
      <c r="C234" s="25" t="s">
        <v>26</v>
      </c>
      <c r="D234" s="132">
        <v>0.15625687240874001</v>
      </c>
      <c r="E234" s="132">
        <v>12.5526354168355</v>
      </c>
      <c r="F234" s="132">
        <v>11.8002875126452</v>
      </c>
      <c r="G234" s="132">
        <v>3.58233348225964</v>
      </c>
      <c r="H234" s="132">
        <v>11.644030640236499</v>
      </c>
      <c r="I234" s="132">
        <v>8.3684236112236405</v>
      </c>
      <c r="J234" s="132">
        <v>2.2281072547172198</v>
      </c>
      <c r="K234" s="132">
        <v>2.0139774666015402</v>
      </c>
      <c r="L234" s="132">
        <v>1.4178864348200499</v>
      </c>
      <c r="M234" s="132">
        <v>2.4075132934087402</v>
      </c>
      <c r="N234" s="131">
        <v>7.0489211331053898</v>
      </c>
      <c r="O234" s="131">
        <v>63.220373118262202</v>
      </c>
    </row>
    <row r="235" spans="2:15" ht="14.5" thickBot="1" x14ac:dyDescent="0.35">
      <c r="B235" s="556"/>
      <c r="C235" s="27" t="s">
        <v>0</v>
      </c>
      <c r="D235" s="133">
        <v>0.595063662841115</v>
      </c>
      <c r="E235" s="133">
        <v>10.744038897427799</v>
      </c>
      <c r="F235" s="134">
        <v>11.955098110747601</v>
      </c>
      <c r="G235" s="134">
        <v>3.2474328534947299</v>
      </c>
      <c r="H235" s="134">
        <v>9.5210186054578401</v>
      </c>
      <c r="I235" s="134">
        <v>8.0797086281240897</v>
      </c>
      <c r="J235" s="134">
        <v>2.1888773929632999</v>
      </c>
      <c r="K235" s="134">
        <v>1.86293799974882</v>
      </c>
      <c r="L235" s="134">
        <v>1.8031326064984501</v>
      </c>
      <c r="M235" s="134">
        <v>3.6331776399595701</v>
      </c>
      <c r="N235" s="135">
        <v>6.14799442613735</v>
      </c>
      <c r="O235" s="135">
        <v>59.778480823400699</v>
      </c>
    </row>
    <row r="236" spans="2:15" ht="14.25" customHeight="1" x14ac:dyDescent="0.3">
      <c r="B236" s="554" t="s">
        <v>17</v>
      </c>
      <c r="C236" s="24" t="s">
        <v>25</v>
      </c>
      <c r="D236" s="129">
        <v>0.438763914300632</v>
      </c>
      <c r="E236" s="130">
        <v>0.96528061146139099</v>
      </c>
      <c r="F236" s="130">
        <v>1.75505565720253</v>
      </c>
      <c r="G236" s="130">
        <v>1.1407861771816401</v>
      </c>
      <c r="H236" s="130">
        <v>2.7203362686639201</v>
      </c>
      <c r="I236" s="130">
        <v>34.355214489739502</v>
      </c>
      <c r="J236" s="130">
        <v>0.394887522870569</v>
      </c>
      <c r="K236" s="130">
        <v>0.65814587145094805</v>
      </c>
      <c r="L236" s="130">
        <v>0.87752782860126499</v>
      </c>
      <c r="M236" s="130">
        <v>2.1060667886430302</v>
      </c>
      <c r="N236" s="131">
        <v>1.57955009148228</v>
      </c>
      <c r="O236" s="131">
        <v>46.991615221597698</v>
      </c>
    </row>
    <row r="237" spans="2:15" x14ac:dyDescent="0.3">
      <c r="B237" s="555"/>
      <c r="C237" s="25" t="s">
        <v>26</v>
      </c>
      <c r="D237" s="132" t="s">
        <v>215</v>
      </c>
      <c r="E237" s="132">
        <v>1.1836170491581499</v>
      </c>
      <c r="F237" s="132">
        <v>1.6908814987973599</v>
      </c>
      <c r="G237" s="132">
        <v>1.3104331615679501</v>
      </c>
      <c r="H237" s="132">
        <v>4.1003876345836003</v>
      </c>
      <c r="I237" s="132">
        <v>35.888959811973997</v>
      </c>
      <c r="J237" s="132">
        <v>0.38044833722940602</v>
      </c>
      <c r="K237" s="132">
        <v>1.01452889927842</v>
      </c>
      <c r="L237" s="132">
        <v>0.21136018734966999</v>
      </c>
      <c r="M237" s="132">
        <v>1.05680093674835</v>
      </c>
      <c r="N237" s="131">
        <v>2.49405021072611</v>
      </c>
      <c r="O237" s="131">
        <v>49.331467727412999</v>
      </c>
    </row>
    <row r="238" spans="2:15" ht="14.5" thickBot="1" x14ac:dyDescent="0.35">
      <c r="B238" s="556"/>
      <c r="C238" s="27" t="s">
        <v>0</v>
      </c>
      <c r="D238" s="133">
        <v>0.21529637699256801</v>
      </c>
      <c r="E238" s="133">
        <v>1.0764818849628399</v>
      </c>
      <c r="F238" s="134">
        <v>1.7223710159405401</v>
      </c>
      <c r="G238" s="134">
        <v>1.22718934885764</v>
      </c>
      <c r="H238" s="134">
        <v>3.4232123941818302</v>
      </c>
      <c r="I238" s="134">
        <v>35.136368725187097</v>
      </c>
      <c r="J238" s="134">
        <v>0.38753347858662202</v>
      </c>
      <c r="K238" s="134">
        <v>0.83965587027101496</v>
      </c>
      <c r="L238" s="134">
        <v>0.53824094248141996</v>
      </c>
      <c r="M238" s="134">
        <v>1.57166355204575</v>
      </c>
      <c r="N238" s="135">
        <v>2.0453155814294002</v>
      </c>
      <c r="O238" s="135">
        <v>48.183329170936702</v>
      </c>
    </row>
    <row r="239" spans="2:15" x14ac:dyDescent="0.3">
      <c r="B239" s="554" t="s">
        <v>18</v>
      </c>
      <c r="C239" s="24" t="s">
        <v>25</v>
      </c>
      <c r="D239" s="129">
        <v>0.510924616348016</v>
      </c>
      <c r="E239" s="130">
        <v>5.9214852971616203</v>
      </c>
      <c r="F239" s="130">
        <v>0.98254733913079895</v>
      </c>
      <c r="G239" s="130">
        <v>5.8035796164659201</v>
      </c>
      <c r="H239" s="130">
        <v>9.9171778096268692</v>
      </c>
      <c r="I239" s="130">
        <v>51.223467946685702</v>
      </c>
      <c r="J239" s="130">
        <v>1.13975491339173</v>
      </c>
      <c r="K239" s="130">
        <v>1.97819530945001</v>
      </c>
      <c r="L239" s="130">
        <v>2.0961009901457102</v>
      </c>
      <c r="M239" s="130">
        <v>5.1747493194222098</v>
      </c>
      <c r="N239" s="131">
        <v>9.2097437254526895</v>
      </c>
      <c r="O239" s="131">
        <v>93.957726883281197</v>
      </c>
    </row>
    <row r="240" spans="2:15" x14ac:dyDescent="0.3">
      <c r="B240" s="555"/>
      <c r="C240" s="25" t="s">
        <v>26</v>
      </c>
      <c r="D240" s="132">
        <v>4.9597639152376402E-2</v>
      </c>
      <c r="E240" s="132">
        <v>9.0887673746729707</v>
      </c>
      <c r="F240" s="132">
        <v>0.35958288385472897</v>
      </c>
      <c r="G240" s="132">
        <v>8.2828057384468501</v>
      </c>
      <c r="H240" s="132">
        <v>15.238874629567601</v>
      </c>
      <c r="I240" s="132">
        <v>63.869359818472603</v>
      </c>
      <c r="J240" s="132">
        <v>0.88035809495467998</v>
      </c>
      <c r="K240" s="132">
        <v>2.2814914010093101</v>
      </c>
      <c r="L240" s="132">
        <v>1.3391362571141601</v>
      </c>
      <c r="M240" s="132">
        <v>3.11225185681162</v>
      </c>
      <c r="N240" s="131">
        <v>13.6889484060559</v>
      </c>
      <c r="O240" s="131">
        <v>118.191174100113</v>
      </c>
    </row>
    <row r="241" spans="2:26" ht="14.5" thickBot="1" x14ac:dyDescent="0.35">
      <c r="B241" s="556"/>
      <c r="C241" s="27" t="s">
        <v>0</v>
      </c>
      <c r="D241" s="133">
        <v>0.27391815070849301</v>
      </c>
      <c r="E241" s="133">
        <v>7.5486746183619404</v>
      </c>
      <c r="F241" s="134">
        <v>0.66249971334146995</v>
      </c>
      <c r="G241" s="134">
        <v>7.07728059156128</v>
      </c>
      <c r="H241" s="134">
        <v>12.6511964490015</v>
      </c>
      <c r="I241" s="134">
        <v>57.720287524875602</v>
      </c>
      <c r="J241" s="134">
        <v>1.0064899491149299</v>
      </c>
      <c r="K241" s="134">
        <v>2.1340134997056999</v>
      </c>
      <c r="L241" s="134">
        <v>1.70721079976456</v>
      </c>
      <c r="M241" s="134">
        <v>4.1151424501787499</v>
      </c>
      <c r="N241" s="135">
        <v>11.510932519308</v>
      </c>
      <c r="O241" s="135">
        <v>106.407646265922</v>
      </c>
    </row>
    <row r="242" spans="2:26" x14ac:dyDescent="0.3">
      <c r="B242" s="554" t="s">
        <v>19</v>
      </c>
      <c r="C242" s="24" t="s">
        <v>25</v>
      </c>
      <c r="D242" s="129">
        <v>0.93566490178569595</v>
      </c>
      <c r="E242" s="130">
        <v>4.2003217873640502</v>
      </c>
      <c r="F242" s="130">
        <v>5.1105610124707903</v>
      </c>
      <c r="G242" s="130">
        <v>3.9002988025523302</v>
      </c>
      <c r="H242" s="130">
        <v>6.9666354100348</v>
      </c>
      <c r="I242" s="130">
        <v>19.979496734326101</v>
      </c>
      <c r="J242" s="130">
        <v>2.4968014498737898</v>
      </c>
      <c r="K242" s="130">
        <v>1.8357338562208501</v>
      </c>
      <c r="L242" s="130">
        <v>3.1375285021835602</v>
      </c>
      <c r="M242" s="130">
        <v>10.236377430948901</v>
      </c>
      <c r="N242" s="131">
        <v>5.4156691326182997</v>
      </c>
      <c r="O242" s="131">
        <v>64.215089020379196</v>
      </c>
    </row>
    <row r="243" spans="2:26" x14ac:dyDescent="0.3">
      <c r="B243" s="555"/>
      <c r="C243" s="25" t="s">
        <v>26</v>
      </c>
      <c r="D243" s="132">
        <v>0.199556983496637</v>
      </c>
      <c r="E243" s="132">
        <v>4.7323513229202598</v>
      </c>
      <c r="F243" s="132">
        <v>1.52993687347422</v>
      </c>
      <c r="G243" s="132">
        <v>6.1292502073967201</v>
      </c>
      <c r="H243" s="132">
        <v>10.9376232383157</v>
      </c>
      <c r="I243" s="132">
        <v>18.192944995443401</v>
      </c>
      <c r="J243" s="132">
        <v>1.84352641896894</v>
      </c>
      <c r="K243" s="132">
        <v>2.1476132509638099</v>
      </c>
      <c r="L243" s="132">
        <v>2.4517000829586899</v>
      </c>
      <c r="M243" s="132">
        <v>5.7681470944028099</v>
      </c>
      <c r="N243" s="131">
        <v>6.7611806551360702</v>
      </c>
      <c r="O243" s="131">
        <v>60.693831123477302</v>
      </c>
    </row>
    <row r="244" spans="2:26" ht="14.5" thickBot="1" x14ac:dyDescent="0.35">
      <c r="B244" s="556"/>
      <c r="C244" s="27" t="s">
        <v>0</v>
      </c>
      <c r="D244" s="133">
        <v>0.55512188364154103</v>
      </c>
      <c r="E244" s="133">
        <v>4.4753631504198497</v>
      </c>
      <c r="F244" s="134">
        <v>3.2594988477536502</v>
      </c>
      <c r="G244" s="134">
        <v>5.0525916577462402</v>
      </c>
      <c r="H244" s="134">
        <v>9.0195024634147707</v>
      </c>
      <c r="I244" s="134">
        <v>19.055909616332201</v>
      </c>
      <c r="J244" s="134">
        <v>2.1590802465527199</v>
      </c>
      <c r="K244" s="134">
        <v>1.9969650061972199</v>
      </c>
      <c r="L244" s="134">
        <v>2.7829782927693199</v>
      </c>
      <c r="M244" s="134">
        <v>7.9264527367754498</v>
      </c>
      <c r="N244" s="135">
        <v>6.1112533030980201</v>
      </c>
      <c r="O244" s="135">
        <v>62.394717204700903</v>
      </c>
    </row>
    <row r="245" spans="2:26" x14ac:dyDescent="0.3">
      <c r="B245" s="554" t="s">
        <v>20</v>
      </c>
      <c r="C245" s="24" t="s">
        <v>25</v>
      </c>
      <c r="D245" s="129">
        <v>0.25164606129505901</v>
      </c>
      <c r="E245" s="130">
        <v>1.21382217801146</v>
      </c>
      <c r="F245" s="130" t="s">
        <v>215</v>
      </c>
      <c r="G245" s="130">
        <v>0.103618966415613</v>
      </c>
      <c r="H245" s="130">
        <v>0.66612192695751005</v>
      </c>
      <c r="I245" s="130">
        <v>20.3093174174601</v>
      </c>
      <c r="J245" s="130">
        <v>0.41447586566245098</v>
      </c>
      <c r="K245" s="130">
        <v>0.79934631234901199</v>
      </c>
      <c r="L245" s="130">
        <v>0.29605418975889303</v>
      </c>
      <c r="M245" s="130">
        <v>0.87335985978873598</v>
      </c>
      <c r="N245" s="131">
        <v>0.94737340722845897</v>
      </c>
      <c r="O245" s="131">
        <v>25.8751361849273</v>
      </c>
    </row>
    <row r="246" spans="2:26" x14ac:dyDescent="0.3">
      <c r="B246" s="555"/>
      <c r="C246" s="25" t="s">
        <v>26</v>
      </c>
      <c r="D246" s="132">
        <v>2.8177507023243599E-2</v>
      </c>
      <c r="E246" s="132">
        <v>1.6624729143713699</v>
      </c>
      <c r="F246" s="132" t="s">
        <v>215</v>
      </c>
      <c r="G246" s="132">
        <v>0.11271002809297501</v>
      </c>
      <c r="H246" s="132">
        <v>2.11331302674327</v>
      </c>
      <c r="I246" s="132">
        <v>29.0228322339409</v>
      </c>
      <c r="J246" s="132">
        <v>0.60581640099973799</v>
      </c>
      <c r="K246" s="132">
        <v>0.83123645718568695</v>
      </c>
      <c r="L246" s="132">
        <v>0.15497628862783999</v>
      </c>
      <c r="M246" s="132">
        <v>0.71852642909271303</v>
      </c>
      <c r="N246" s="131">
        <v>1.1693665414646099</v>
      </c>
      <c r="O246" s="131">
        <v>36.4194278275424</v>
      </c>
    </row>
    <row r="247" spans="2:26" ht="14.5" thickBot="1" x14ac:dyDescent="0.35">
      <c r="B247" s="556"/>
      <c r="C247" s="27" t="s">
        <v>0</v>
      </c>
      <c r="D247" s="133">
        <v>0.137150644824584</v>
      </c>
      <c r="E247" s="133">
        <v>1.44369099815352</v>
      </c>
      <c r="F247" s="134"/>
      <c r="G247" s="134">
        <v>0.10827682486151401</v>
      </c>
      <c r="H247" s="134">
        <v>1.40759872319968</v>
      </c>
      <c r="I247" s="134">
        <v>24.773737528314399</v>
      </c>
      <c r="J247" s="134">
        <v>0.51251030434449896</v>
      </c>
      <c r="K247" s="134">
        <v>0.81568541395673799</v>
      </c>
      <c r="L247" s="134">
        <v>0.22377210471379499</v>
      </c>
      <c r="M247" s="134">
        <v>0.79403004898443597</v>
      </c>
      <c r="N247" s="135">
        <v>1.0611128836428401</v>
      </c>
      <c r="O247" s="135">
        <v>31.277565474995999</v>
      </c>
    </row>
    <row r="248" spans="2:26" x14ac:dyDescent="0.3">
      <c r="B248" s="554" t="s">
        <v>1</v>
      </c>
      <c r="C248" s="24" t="s">
        <v>25</v>
      </c>
      <c r="D248" s="129">
        <v>1.22967841207165</v>
      </c>
      <c r="E248" s="130">
        <v>3.0438206690632099</v>
      </c>
      <c r="F248" s="130">
        <v>2.7798692552284101</v>
      </c>
      <c r="G248" s="130">
        <v>1.38972514236513</v>
      </c>
      <c r="H248" s="130">
        <v>5.75707361508569</v>
      </c>
      <c r="I248" s="130">
        <v>22.548154269462302</v>
      </c>
      <c r="J248" s="130">
        <v>2.0638486738892401</v>
      </c>
      <c r="K248" s="130">
        <v>1.5409734921974501</v>
      </c>
      <c r="L248" s="130">
        <v>1.21920414961788</v>
      </c>
      <c r="M248" s="130">
        <v>4.6974972252631302</v>
      </c>
      <c r="N248" s="131">
        <v>4.4591030118155102</v>
      </c>
      <c r="O248" s="131">
        <v>50.728947916059603</v>
      </c>
    </row>
    <row r="249" spans="2:26" x14ac:dyDescent="0.3">
      <c r="B249" s="555"/>
      <c r="C249" s="25" t="s">
        <v>26</v>
      </c>
      <c r="D249" s="132">
        <v>0.315602490486797</v>
      </c>
      <c r="E249" s="132">
        <v>4.60487338434928</v>
      </c>
      <c r="F249" s="132">
        <v>2.2021074899422901</v>
      </c>
      <c r="G249" s="132">
        <v>1.84187035436788</v>
      </c>
      <c r="H249" s="132">
        <v>9.4858495732671209</v>
      </c>
      <c r="I249" s="132">
        <v>27.144974156738002</v>
      </c>
      <c r="J249" s="132">
        <v>2.3490463215581698</v>
      </c>
      <c r="K249" s="132">
        <v>1.8165905553802</v>
      </c>
      <c r="L249" s="132">
        <v>0.87610303366672804</v>
      </c>
      <c r="M249" s="132">
        <v>3.0319958910846698</v>
      </c>
      <c r="N249" s="131">
        <v>6.1402261759915602</v>
      </c>
      <c r="O249" s="131">
        <v>59.809239426832697</v>
      </c>
    </row>
    <row r="250" spans="2:26" ht="14.5" thickBot="1" x14ac:dyDescent="0.35">
      <c r="B250" s="556"/>
      <c r="C250" s="27" t="s">
        <v>0</v>
      </c>
      <c r="D250" s="133">
        <v>0.75917939173180904</v>
      </c>
      <c r="E250" s="133">
        <v>3.8473357337281802</v>
      </c>
      <c r="F250" s="134">
        <v>2.4824800142060499</v>
      </c>
      <c r="G250" s="134">
        <v>1.62245622550076</v>
      </c>
      <c r="H250" s="134">
        <v>7.6763730889732598</v>
      </c>
      <c r="I250" s="134">
        <v>24.914258881311099</v>
      </c>
      <c r="J250" s="134">
        <v>2.2106474360738999</v>
      </c>
      <c r="K250" s="134">
        <v>1.6828408744949599</v>
      </c>
      <c r="L250" s="134">
        <v>1.0426009429032399</v>
      </c>
      <c r="M250" s="134">
        <v>3.84021969765142</v>
      </c>
      <c r="N250" s="135">
        <v>5.3244215079466004</v>
      </c>
      <c r="O250" s="135">
        <v>55.4028137945213</v>
      </c>
    </row>
    <row r="251" spans="2:26" x14ac:dyDescent="0.3">
      <c r="B251" s="50"/>
      <c r="C251" s="51"/>
      <c r="D251" s="52"/>
      <c r="E251" s="52"/>
      <c r="F251" s="53"/>
      <c r="G251" s="53"/>
      <c r="H251" s="53"/>
      <c r="I251" s="53"/>
      <c r="J251" s="53"/>
      <c r="K251" s="53"/>
      <c r="L251" s="53"/>
      <c r="M251" s="53"/>
      <c r="N251" s="53"/>
      <c r="Z251" s="70"/>
    </row>
    <row r="252" spans="2:26" x14ac:dyDescent="0.3">
      <c r="B252" s="50"/>
      <c r="C252" s="51"/>
      <c r="D252" s="52"/>
      <c r="E252" s="52"/>
      <c r="F252" s="53"/>
      <c r="G252" s="53"/>
      <c r="H252" s="53"/>
      <c r="I252" s="53"/>
      <c r="J252" s="53"/>
      <c r="K252" s="53"/>
      <c r="L252" s="53"/>
      <c r="M252" s="53"/>
      <c r="N252" s="53"/>
      <c r="Z252" s="70"/>
    </row>
    <row r="253" spans="2:26" x14ac:dyDescent="0.3">
      <c r="B253" s="50"/>
      <c r="C253" s="51"/>
      <c r="D253" s="52"/>
      <c r="E253" s="52"/>
      <c r="F253" s="53"/>
      <c r="G253" s="53"/>
      <c r="H253" s="53"/>
      <c r="I253" s="53"/>
      <c r="J253" s="53"/>
      <c r="K253" s="53"/>
      <c r="L253" s="53"/>
      <c r="M253" s="53"/>
      <c r="N253" s="53"/>
      <c r="Z253" s="70"/>
    </row>
    <row r="254" spans="2:26" ht="38.25" customHeight="1" x14ac:dyDescent="0.3">
      <c r="Z254" s="70"/>
    </row>
    <row r="255" spans="2:26" x14ac:dyDescent="0.3">
      <c r="Z255" s="70"/>
    </row>
    <row r="256" spans="2:26" ht="36" customHeight="1" x14ac:dyDescent="0.3">
      <c r="B256" s="478" t="s">
        <v>234</v>
      </c>
      <c r="C256" s="479"/>
      <c r="D256" s="479"/>
      <c r="E256" s="479"/>
      <c r="F256" s="479"/>
      <c r="G256" s="479"/>
      <c r="H256" s="479"/>
      <c r="I256" s="479"/>
      <c r="J256" s="479"/>
      <c r="K256" s="479"/>
      <c r="L256" s="479"/>
      <c r="Z256" s="70"/>
    </row>
    <row r="257" spans="2:26" ht="14.5" thickBot="1" x14ac:dyDescent="0.35">
      <c r="Z257" s="70"/>
    </row>
    <row r="258" spans="2:26" x14ac:dyDescent="0.3">
      <c r="B258" s="203" t="s">
        <v>2</v>
      </c>
      <c r="C258" s="204" t="s">
        <v>25</v>
      </c>
      <c r="D258" s="204" t="s">
        <v>26</v>
      </c>
      <c r="E258" s="205" t="s">
        <v>0</v>
      </c>
    </row>
    <row r="259" spans="2:26" x14ac:dyDescent="0.3">
      <c r="B259" s="206" t="s">
        <v>3</v>
      </c>
      <c r="C259" s="142">
        <v>43.724767981600898</v>
      </c>
      <c r="D259" s="142">
        <v>51.513223991693003</v>
      </c>
      <c r="E259" s="207">
        <v>47.738350531856703</v>
      </c>
    </row>
    <row r="260" spans="2:26" x14ac:dyDescent="0.3">
      <c r="B260" s="206" t="s">
        <v>4</v>
      </c>
      <c r="C260" s="142">
        <v>95.668710704028598</v>
      </c>
      <c r="D260" s="142">
        <v>114.90871651560001</v>
      </c>
      <c r="E260" s="207">
        <v>105.548370042389</v>
      </c>
    </row>
    <row r="261" spans="2:26" x14ac:dyDescent="0.3">
      <c r="B261" s="206" t="s">
        <v>5</v>
      </c>
      <c r="C261" s="142">
        <v>50.8275207643035</v>
      </c>
      <c r="D261" s="142">
        <v>58.884912344943103</v>
      </c>
      <c r="E261" s="207">
        <v>54.951282029112797</v>
      </c>
    </row>
    <row r="262" spans="2:26" x14ac:dyDescent="0.3">
      <c r="B262" s="13" t="s">
        <v>23</v>
      </c>
      <c r="C262" s="142">
        <v>84.455134067381195</v>
      </c>
      <c r="D262" s="142">
        <v>101.790412742849</v>
      </c>
      <c r="E262" s="207">
        <v>93.260494899359699</v>
      </c>
    </row>
    <row r="263" spans="2:26" x14ac:dyDescent="0.3">
      <c r="B263" s="206" t="s">
        <v>213</v>
      </c>
      <c r="C263" s="142">
        <v>28.881695452678599</v>
      </c>
      <c r="D263" s="142">
        <v>37.164154409425102</v>
      </c>
      <c r="E263" s="207">
        <v>33.1059911024944</v>
      </c>
    </row>
    <row r="264" spans="2:26" x14ac:dyDescent="0.3">
      <c r="B264" s="206" t="s">
        <v>6</v>
      </c>
      <c r="C264" s="142">
        <v>49.045487285266503</v>
      </c>
      <c r="D264" s="142">
        <v>65.352584293256498</v>
      </c>
      <c r="E264" s="207">
        <v>57.385490309261698</v>
      </c>
    </row>
    <row r="265" spans="2:26" x14ac:dyDescent="0.3">
      <c r="B265" s="206" t="s">
        <v>22</v>
      </c>
      <c r="C265" s="142">
        <v>32.490974729241898</v>
      </c>
      <c r="D265" s="142">
        <v>44.945995035009297</v>
      </c>
      <c r="E265" s="207">
        <v>38.8859549477611</v>
      </c>
    </row>
    <row r="266" spans="2:26" x14ac:dyDescent="0.3">
      <c r="B266" s="206" t="s">
        <v>7</v>
      </c>
      <c r="C266" s="142">
        <v>75.378389033330194</v>
      </c>
      <c r="D266" s="142">
        <v>104.16110622436899</v>
      </c>
      <c r="E266" s="207">
        <v>90.290495148794804</v>
      </c>
    </row>
    <row r="267" spans="2:26" x14ac:dyDescent="0.3">
      <c r="B267" s="206" t="s">
        <v>8</v>
      </c>
      <c r="C267" s="142">
        <v>56.747213004314503</v>
      </c>
      <c r="D267" s="142">
        <v>74.397332799188206</v>
      </c>
      <c r="E267" s="207">
        <v>65.8156800496497</v>
      </c>
    </row>
    <row r="268" spans="2:26" x14ac:dyDescent="0.3">
      <c r="B268" s="206" t="s">
        <v>9</v>
      </c>
      <c r="C268" s="142">
        <v>27.8714153428615</v>
      </c>
      <c r="D268" s="142">
        <v>35.124743869420001</v>
      </c>
      <c r="E268" s="207">
        <v>31.629126617530801</v>
      </c>
    </row>
    <row r="269" spans="2:26" x14ac:dyDescent="0.3">
      <c r="B269" s="206" t="s">
        <v>10</v>
      </c>
      <c r="C269" s="142">
        <v>42.1673689869979</v>
      </c>
      <c r="D269" s="142">
        <v>63.376893569988901</v>
      </c>
      <c r="E269" s="207">
        <v>53.191776970326202</v>
      </c>
    </row>
    <row r="270" spans="2:26" x14ac:dyDescent="0.3">
      <c r="B270" s="206" t="s">
        <v>11</v>
      </c>
      <c r="C270" s="142">
        <v>21.9271492137688</v>
      </c>
      <c r="D270" s="142">
        <v>29.138783690771099</v>
      </c>
      <c r="E270" s="207">
        <v>25.635947711399101</v>
      </c>
    </row>
    <row r="271" spans="2:26" x14ac:dyDescent="0.3">
      <c r="B271" s="206" t="s">
        <v>12</v>
      </c>
      <c r="C271" s="142">
        <v>42.059147163238897</v>
      </c>
      <c r="D271" s="142">
        <v>51.8416638290728</v>
      </c>
      <c r="E271" s="207">
        <v>47.146207097736898</v>
      </c>
    </row>
    <row r="272" spans="2:26" x14ac:dyDescent="0.3">
      <c r="B272" s="206" t="s">
        <v>13</v>
      </c>
      <c r="C272" s="142"/>
      <c r="D272" s="142"/>
      <c r="E272" s="207"/>
    </row>
    <row r="273" spans="1:26" x14ac:dyDescent="0.3">
      <c r="B273" s="206" t="s">
        <v>14</v>
      </c>
      <c r="C273" s="142">
        <v>1.28175343870415</v>
      </c>
      <c r="D273" s="142">
        <v>1.7087776802566299</v>
      </c>
      <c r="E273" s="207">
        <v>1.4985645329210999</v>
      </c>
    </row>
    <row r="274" spans="1:26" x14ac:dyDescent="0.3">
      <c r="B274" s="206" t="s">
        <v>15</v>
      </c>
      <c r="C274" s="142">
        <v>52.5404105786861</v>
      </c>
      <c r="D274" s="142">
        <v>54.6183447608555</v>
      </c>
      <c r="E274" s="207">
        <v>53.609102996133998</v>
      </c>
    </row>
    <row r="275" spans="1:26" x14ac:dyDescent="0.3">
      <c r="B275" s="206" t="s">
        <v>16</v>
      </c>
      <c r="C275" s="142">
        <v>52.510245901639301</v>
      </c>
      <c r="D275" s="142">
        <v>60.691326701868803</v>
      </c>
      <c r="E275" s="207">
        <v>56.737376576619702</v>
      </c>
    </row>
    <row r="276" spans="1:26" x14ac:dyDescent="0.3">
      <c r="B276" s="206" t="s">
        <v>17</v>
      </c>
      <c r="C276" s="142">
        <v>45.455941521545498</v>
      </c>
      <c r="D276" s="142">
        <v>47.598314191145697</v>
      </c>
      <c r="E276" s="207">
        <v>46.547076705793202</v>
      </c>
    </row>
    <row r="277" spans="1:26" x14ac:dyDescent="0.3">
      <c r="B277" s="206" t="s">
        <v>18</v>
      </c>
      <c r="C277" s="142">
        <v>93.879123096150806</v>
      </c>
      <c r="D277" s="142">
        <v>118.116777641384</v>
      </c>
      <c r="E277" s="207">
        <v>106.331203991306</v>
      </c>
    </row>
    <row r="278" spans="1:26" x14ac:dyDescent="0.3">
      <c r="B278" s="206" t="s">
        <v>19</v>
      </c>
      <c r="C278" s="143">
        <v>60.487684819243803</v>
      </c>
      <c r="D278" s="143">
        <v>57.705227727777697</v>
      </c>
      <c r="E278" s="208">
        <v>59.049248153728499</v>
      </c>
    </row>
    <row r="279" spans="1:26" ht="14.5" thickBot="1" x14ac:dyDescent="0.35">
      <c r="B279" s="209" t="s">
        <v>20</v>
      </c>
      <c r="C279" s="143">
        <v>24.631708587939901</v>
      </c>
      <c r="D279" s="143">
        <v>34.954197462333703</v>
      </c>
      <c r="E279" s="208">
        <v>29.920495936731701</v>
      </c>
    </row>
    <row r="280" spans="1:26" ht="14.5" thickBot="1" x14ac:dyDescent="0.35">
      <c r="B280" s="413" t="s">
        <v>1</v>
      </c>
      <c r="C280" s="414">
        <v>47.906343670019801</v>
      </c>
      <c r="D280" s="414">
        <v>57.138665661899999</v>
      </c>
      <c r="E280" s="415">
        <v>52.6584636526906</v>
      </c>
    </row>
    <row r="282" spans="1:26" ht="30" customHeight="1" x14ac:dyDescent="0.3">
      <c r="A282" s="478" t="s">
        <v>235</v>
      </c>
      <c r="B282" s="478"/>
      <c r="C282" s="478"/>
      <c r="D282" s="478"/>
      <c r="E282" s="478"/>
      <c r="F282" s="478"/>
      <c r="G282" s="478"/>
      <c r="H282" s="478"/>
      <c r="I282" s="478"/>
      <c r="J282" s="478"/>
      <c r="K282" s="478"/>
    </row>
    <row r="283" spans="1:26" ht="14.5" thickBot="1" x14ac:dyDescent="0.35"/>
    <row r="284" spans="1:26" x14ac:dyDescent="0.3">
      <c r="B284" s="546" t="s">
        <v>2</v>
      </c>
      <c r="C284" s="559" t="s">
        <v>25</v>
      </c>
      <c r="D284" s="560"/>
      <c r="E284" s="560"/>
      <c r="F284" s="560"/>
      <c r="G284" s="560"/>
      <c r="H284" s="560"/>
      <c r="I284" s="560"/>
      <c r="J284" s="561"/>
      <c r="K284" s="546" t="s">
        <v>26</v>
      </c>
      <c r="L284" s="547"/>
      <c r="M284" s="547"/>
      <c r="N284" s="547"/>
      <c r="O284" s="547"/>
      <c r="P284" s="547"/>
      <c r="Q284" s="547"/>
      <c r="R284" s="548"/>
      <c r="S284" s="559" t="s">
        <v>0</v>
      </c>
      <c r="T284" s="560"/>
      <c r="U284" s="560"/>
      <c r="V284" s="560"/>
      <c r="W284" s="560"/>
      <c r="X284" s="560"/>
      <c r="Y284" s="560"/>
      <c r="Z284" s="561"/>
    </row>
    <row r="285" spans="1:26" x14ac:dyDescent="0.3">
      <c r="B285" s="562"/>
      <c r="C285" s="549" t="s">
        <v>27</v>
      </c>
      <c r="D285" s="550"/>
      <c r="E285" s="550"/>
      <c r="F285" s="550"/>
      <c r="G285" s="550"/>
      <c r="H285" s="550"/>
      <c r="I285" s="550"/>
      <c r="J285" s="558" t="s">
        <v>0</v>
      </c>
      <c r="K285" s="549" t="s">
        <v>27</v>
      </c>
      <c r="L285" s="550"/>
      <c r="M285" s="550"/>
      <c r="N285" s="550"/>
      <c r="O285" s="550"/>
      <c r="P285" s="550"/>
      <c r="Q285" s="550"/>
      <c r="R285" s="558" t="s">
        <v>0</v>
      </c>
      <c r="S285" s="549" t="s">
        <v>27</v>
      </c>
      <c r="T285" s="550"/>
      <c r="U285" s="550"/>
      <c r="V285" s="550"/>
      <c r="W285" s="550"/>
      <c r="X285" s="550"/>
      <c r="Y285" s="550"/>
      <c r="Z285" s="558" t="s">
        <v>0</v>
      </c>
    </row>
    <row r="286" spans="1:26" x14ac:dyDescent="0.3">
      <c r="B286" s="562"/>
      <c r="C286" s="384" t="s">
        <v>28</v>
      </c>
      <c r="D286" s="385" t="s">
        <v>29</v>
      </c>
      <c r="E286" s="385" t="s">
        <v>30</v>
      </c>
      <c r="F286" s="385" t="s">
        <v>31</v>
      </c>
      <c r="G286" s="385" t="s">
        <v>32</v>
      </c>
      <c r="H286" s="380" t="s">
        <v>74</v>
      </c>
      <c r="I286" s="380" t="s">
        <v>75</v>
      </c>
      <c r="J286" s="558"/>
      <c r="K286" s="384" t="s">
        <v>28</v>
      </c>
      <c r="L286" s="385" t="s">
        <v>29</v>
      </c>
      <c r="M286" s="385" t="s">
        <v>30</v>
      </c>
      <c r="N286" s="385" t="s">
        <v>31</v>
      </c>
      <c r="O286" s="385" t="s">
        <v>32</v>
      </c>
      <c r="P286" s="380" t="s">
        <v>74</v>
      </c>
      <c r="Q286" s="380" t="s">
        <v>75</v>
      </c>
      <c r="R286" s="558"/>
      <c r="S286" s="384" t="s">
        <v>28</v>
      </c>
      <c r="T286" s="385" t="s">
        <v>29</v>
      </c>
      <c r="U286" s="385" t="s">
        <v>30</v>
      </c>
      <c r="V286" s="385" t="s">
        <v>31</v>
      </c>
      <c r="W286" s="385" t="s">
        <v>32</v>
      </c>
      <c r="X286" s="380" t="s">
        <v>74</v>
      </c>
      <c r="Y286" s="380" t="s">
        <v>75</v>
      </c>
      <c r="Z286" s="558"/>
    </row>
    <row r="287" spans="1:26" x14ac:dyDescent="0.3">
      <c r="B287" s="13" t="s">
        <v>3</v>
      </c>
      <c r="C287" s="66">
        <v>1368</v>
      </c>
      <c r="D287" s="21">
        <v>1351</v>
      </c>
      <c r="E287" s="21">
        <v>1173</v>
      </c>
      <c r="F287" s="21">
        <v>1371</v>
      </c>
      <c r="G287" s="21">
        <v>1365</v>
      </c>
      <c r="H287" s="21">
        <v>683</v>
      </c>
      <c r="I287" s="21">
        <v>499</v>
      </c>
      <c r="J287" s="67">
        <v>7810</v>
      </c>
      <c r="K287" s="66">
        <v>1527</v>
      </c>
      <c r="L287" s="21">
        <v>1338</v>
      </c>
      <c r="M287" s="21">
        <v>1254</v>
      </c>
      <c r="N287" s="21">
        <v>1775</v>
      </c>
      <c r="O287" s="21">
        <v>1882</v>
      </c>
      <c r="P287" s="21">
        <v>1143</v>
      </c>
      <c r="Q287" s="21">
        <v>864</v>
      </c>
      <c r="R287" s="67">
        <v>9783</v>
      </c>
      <c r="S287" s="66">
        <v>2895</v>
      </c>
      <c r="T287" s="21">
        <v>2689</v>
      </c>
      <c r="U287" s="21">
        <v>2427</v>
      </c>
      <c r="V287" s="21">
        <v>3146</v>
      </c>
      <c r="W287" s="21">
        <v>3247</v>
      </c>
      <c r="X287" s="21">
        <v>1826</v>
      </c>
      <c r="Y287" s="21">
        <v>1363</v>
      </c>
      <c r="Z287" s="67">
        <v>17593</v>
      </c>
    </row>
    <row r="288" spans="1:26" x14ac:dyDescent="0.3">
      <c r="B288" s="13" t="s">
        <v>4</v>
      </c>
      <c r="C288" s="66">
        <v>66</v>
      </c>
      <c r="D288" s="21">
        <v>86</v>
      </c>
      <c r="E288" s="21">
        <v>53</v>
      </c>
      <c r="F288" s="21">
        <v>93</v>
      </c>
      <c r="G288" s="21">
        <v>94</v>
      </c>
      <c r="H288" s="21">
        <v>68</v>
      </c>
      <c r="I288" s="21">
        <v>33</v>
      </c>
      <c r="J288" s="67">
        <v>493</v>
      </c>
      <c r="K288" s="66">
        <v>70</v>
      </c>
      <c r="L288" s="21">
        <v>79</v>
      </c>
      <c r="M288" s="21">
        <v>68</v>
      </c>
      <c r="N288" s="21">
        <v>112</v>
      </c>
      <c r="O288" s="21">
        <v>133</v>
      </c>
      <c r="P288" s="21">
        <v>106</v>
      </c>
      <c r="Q288" s="21">
        <v>57</v>
      </c>
      <c r="R288" s="67">
        <v>625</v>
      </c>
      <c r="S288" s="66">
        <v>136</v>
      </c>
      <c r="T288" s="21">
        <v>165</v>
      </c>
      <c r="U288" s="21">
        <v>121</v>
      </c>
      <c r="V288" s="21">
        <v>205</v>
      </c>
      <c r="W288" s="21">
        <v>227</v>
      </c>
      <c r="X288" s="21">
        <v>174</v>
      </c>
      <c r="Y288" s="21">
        <v>90</v>
      </c>
      <c r="Z288" s="67">
        <v>1118</v>
      </c>
    </row>
    <row r="289" spans="2:26" x14ac:dyDescent="0.3">
      <c r="B289" s="13" t="s">
        <v>5</v>
      </c>
      <c r="C289" s="66">
        <v>4353</v>
      </c>
      <c r="D289" s="21">
        <v>4338</v>
      </c>
      <c r="E289" s="21">
        <v>3129</v>
      </c>
      <c r="F289" s="21">
        <v>3109</v>
      </c>
      <c r="G289" s="21">
        <v>3295</v>
      </c>
      <c r="H289" s="21">
        <v>1902</v>
      </c>
      <c r="I289" s="21">
        <v>1112</v>
      </c>
      <c r="J289" s="67">
        <v>21238</v>
      </c>
      <c r="K289" s="66">
        <v>5316</v>
      </c>
      <c r="L289" s="21">
        <v>4260</v>
      </c>
      <c r="M289" s="21">
        <v>3610</v>
      </c>
      <c r="N289" s="21">
        <v>3958</v>
      </c>
      <c r="O289" s="21">
        <v>4054</v>
      </c>
      <c r="P289" s="21">
        <v>2574</v>
      </c>
      <c r="Q289" s="21">
        <v>2022</v>
      </c>
      <c r="R289" s="67">
        <v>25794</v>
      </c>
      <c r="S289" s="66">
        <v>9669</v>
      </c>
      <c r="T289" s="21">
        <v>8598</v>
      </c>
      <c r="U289" s="21">
        <v>6739</v>
      </c>
      <c r="V289" s="21">
        <v>7067</v>
      </c>
      <c r="W289" s="21">
        <v>7349</v>
      </c>
      <c r="X289" s="21">
        <v>4476</v>
      </c>
      <c r="Y289" s="21">
        <v>3134</v>
      </c>
      <c r="Z289" s="67">
        <v>47032</v>
      </c>
    </row>
    <row r="290" spans="2:26" x14ac:dyDescent="0.3">
      <c r="B290" s="13" t="s">
        <v>23</v>
      </c>
      <c r="C290" s="66">
        <v>224</v>
      </c>
      <c r="D290" s="21">
        <v>310</v>
      </c>
      <c r="E290" s="21">
        <v>276</v>
      </c>
      <c r="F290" s="21">
        <v>306</v>
      </c>
      <c r="G290" s="21">
        <v>307</v>
      </c>
      <c r="H290" s="21">
        <v>184</v>
      </c>
      <c r="I290" s="21">
        <v>240</v>
      </c>
      <c r="J290" s="67">
        <v>1847</v>
      </c>
      <c r="K290" s="66">
        <v>238</v>
      </c>
      <c r="L290" s="21">
        <v>358</v>
      </c>
      <c r="M290" s="21">
        <v>354</v>
      </c>
      <c r="N290" s="21">
        <v>349</v>
      </c>
      <c r="O290" s="21">
        <v>401</v>
      </c>
      <c r="P290" s="21">
        <v>271</v>
      </c>
      <c r="Q290" s="21">
        <v>327</v>
      </c>
      <c r="R290" s="67">
        <v>2298</v>
      </c>
      <c r="S290" s="66">
        <v>462</v>
      </c>
      <c r="T290" s="21">
        <v>668</v>
      </c>
      <c r="U290" s="21">
        <v>630</v>
      </c>
      <c r="V290" s="21">
        <v>655</v>
      </c>
      <c r="W290" s="21">
        <v>708</v>
      </c>
      <c r="X290" s="21">
        <v>455</v>
      </c>
      <c r="Y290" s="21">
        <v>567</v>
      </c>
      <c r="Z290" s="67">
        <v>4145</v>
      </c>
    </row>
    <row r="291" spans="2:26" x14ac:dyDescent="0.3">
      <c r="B291" s="13" t="s">
        <v>24</v>
      </c>
      <c r="C291" s="66">
        <v>85</v>
      </c>
      <c r="D291" s="21">
        <v>91</v>
      </c>
      <c r="E291" s="21">
        <v>98</v>
      </c>
      <c r="F291" s="21">
        <v>110</v>
      </c>
      <c r="G291" s="21">
        <v>125</v>
      </c>
      <c r="H291" s="21">
        <v>74</v>
      </c>
      <c r="I291" s="21">
        <v>71</v>
      </c>
      <c r="J291" s="67">
        <v>654</v>
      </c>
      <c r="K291" s="66">
        <v>111</v>
      </c>
      <c r="L291" s="21">
        <v>124</v>
      </c>
      <c r="M291" s="21">
        <v>110</v>
      </c>
      <c r="N291" s="21">
        <v>146</v>
      </c>
      <c r="O291" s="21">
        <v>163</v>
      </c>
      <c r="P291" s="21">
        <v>103</v>
      </c>
      <c r="Q291" s="21">
        <v>119</v>
      </c>
      <c r="R291" s="67">
        <v>876</v>
      </c>
      <c r="S291" s="66">
        <v>196</v>
      </c>
      <c r="T291" s="21">
        <v>215</v>
      </c>
      <c r="U291" s="21">
        <v>208</v>
      </c>
      <c r="V291" s="21">
        <v>256</v>
      </c>
      <c r="W291" s="21">
        <v>288</v>
      </c>
      <c r="X291" s="21">
        <v>177</v>
      </c>
      <c r="Y291" s="21">
        <v>190</v>
      </c>
      <c r="Z291" s="67">
        <v>1530</v>
      </c>
    </row>
    <row r="292" spans="2:26" x14ac:dyDescent="0.3">
      <c r="B292" s="13" t="s">
        <v>6</v>
      </c>
      <c r="C292" s="66">
        <v>1400</v>
      </c>
      <c r="D292" s="21">
        <v>1618</v>
      </c>
      <c r="E292" s="21">
        <v>1370</v>
      </c>
      <c r="F292" s="21">
        <v>1753</v>
      </c>
      <c r="G292" s="21">
        <v>1809</v>
      </c>
      <c r="H292" s="21">
        <v>1137</v>
      </c>
      <c r="I292" s="21">
        <v>909</v>
      </c>
      <c r="J292" s="67">
        <v>9996</v>
      </c>
      <c r="K292" s="66">
        <v>1827</v>
      </c>
      <c r="L292" s="21">
        <v>1835</v>
      </c>
      <c r="M292" s="21">
        <v>1811</v>
      </c>
      <c r="N292" s="21">
        <v>2349</v>
      </c>
      <c r="O292" s="21">
        <v>2654</v>
      </c>
      <c r="P292" s="21">
        <v>1797</v>
      </c>
      <c r="Q292" s="21">
        <v>1670</v>
      </c>
      <c r="R292" s="67">
        <v>13943</v>
      </c>
      <c r="S292" s="66">
        <v>3227</v>
      </c>
      <c r="T292" s="21">
        <v>3453</v>
      </c>
      <c r="U292" s="21">
        <v>3181</v>
      </c>
      <c r="V292" s="21">
        <v>4102</v>
      </c>
      <c r="W292" s="21">
        <v>4463</v>
      </c>
      <c r="X292" s="21">
        <v>2934</v>
      </c>
      <c r="Y292" s="21">
        <v>2579</v>
      </c>
      <c r="Z292" s="67">
        <v>23939</v>
      </c>
    </row>
    <row r="293" spans="2:26" x14ac:dyDescent="0.3">
      <c r="B293" s="13" t="s">
        <v>22</v>
      </c>
      <c r="C293" s="66">
        <v>163</v>
      </c>
      <c r="D293" s="21">
        <v>256</v>
      </c>
      <c r="E293" s="21">
        <v>194</v>
      </c>
      <c r="F293" s="21">
        <v>249</v>
      </c>
      <c r="G293" s="21">
        <v>257</v>
      </c>
      <c r="H293" s="21">
        <v>136</v>
      </c>
      <c r="I293" s="21">
        <v>113</v>
      </c>
      <c r="J293" s="67">
        <v>1368</v>
      </c>
      <c r="K293" s="66">
        <v>229</v>
      </c>
      <c r="L293" s="21">
        <v>245</v>
      </c>
      <c r="M293" s="21">
        <v>326</v>
      </c>
      <c r="N293" s="21">
        <v>386</v>
      </c>
      <c r="O293" s="21">
        <v>396</v>
      </c>
      <c r="P293" s="21">
        <v>225</v>
      </c>
      <c r="Q293" s="21">
        <v>190</v>
      </c>
      <c r="R293" s="67">
        <v>1997</v>
      </c>
      <c r="S293" s="66">
        <v>392</v>
      </c>
      <c r="T293" s="21">
        <v>501</v>
      </c>
      <c r="U293" s="21">
        <v>520</v>
      </c>
      <c r="V293" s="21">
        <v>635</v>
      </c>
      <c r="W293" s="21">
        <v>653</v>
      </c>
      <c r="X293" s="21">
        <v>361</v>
      </c>
      <c r="Y293" s="21">
        <v>303</v>
      </c>
      <c r="Z293" s="67">
        <v>3365</v>
      </c>
    </row>
    <row r="294" spans="2:26" x14ac:dyDescent="0.3">
      <c r="B294" s="13" t="s">
        <v>7</v>
      </c>
      <c r="C294" s="66">
        <v>462</v>
      </c>
      <c r="D294" s="21">
        <v>483</v>
      </c>
      <c r="E294" s="21">
        <v>404</v>
      </c>
      <c r="F294" s="21">
        <v>490</v>
      </c>
      <c r="G294" s="21">
        <v>606</v>
      </c>
      <c r="H294" s="21">
        <v>338</v>
      </c>
      <c r="I294" s="21">
        <v>238</v>
      </c>
      <c r="J294" s="67">
        <v>3021</v>
      </c>
      <c r="K294" s="66">
        <v>596</v>
      </c>
      <c r="L294" s="21">
        <v>558</v>
      </c>
      <c r="M294" s="21">
        <v>520</v>
      </c>
      <c r="N294" s="21">
        <v>836</v>
      </c>
      <c r="O294" s="21">
        <v>962</v>
      </c>
      <c r="P294" s="21">
        <v>551</v>
      </c>
      <c r="Q294" s="21">
        <v>465</v>
      </c>
      <c r="R294" s="67">
        <v>4488</v>
      </c>
      <c r="S294" s="66">
        <v>1058</v>
      </c>
      <c r="T294" s="21">
        <v>1041</v>
      </c>
      <c r="U294" s="21">
        <v>924</v>
      </c>
      <c r="V294" s="21">
        <v>1326</v>
      </c>
      <c r="W294" s="21">
        <v>1568</v>
      </c>
      <c r="X294" s="21">
        <v>889</v>
      </c>
      <c r="Y294" s="21">
        <v>703</v>
      </c>
      <c r="Z294" s="67">
        <v>7509</v>
      </c>
    </row>
    <row r="295" spans="2:26" x14ac:dyDescent="0.3">
      <c r="B295" s="13" t="s">
        <v>8</v>
      </c>
      <c r="C295" s="66">
        <v>1780</v>
      </c>
      <c r="D295" s="21">
        <v>1887</v>
      </c>
      <c r="E295" s="21">
        <v>1606</v>
      </c>
      <c r="F295" s="21">
        <v>1889</v>
      </c>
      <c r="G295" s="21">
        <v>1657</v>
      </c>
      <c r="H295" s="21">
        <v>959</v>
      </c>
      <c r="I295" s="21">
        <v>785</v>
      </c>
      <c r="J295" s="67">
        <v>10563</v>
      </c>
      <c r="K295" s="66">
        <v>2281</v>
      </c>
      <c r="L295" s="21">
        <v>2100</v>
      </c>
      <c r="M295" s="21">
        <v>2023</v>
      </c>
      <c r="N295" s="21">
        <v>2649</v>
      </c>
      <c r="O295" s="21">
        <v>2607</v>
      </c>
      <c r="P295" s="21">
        <v>1534</v>
      </c>
      <c r="Q295" s="21">
        <v>1440</v>
      </c>
      <c r="R295" s="67">
        <v>14634</v>
      </c>
      <c r="S295" s="66">
        <v>4061</v>
      </c>
      <c r="T295" s="21">
        <v>3987</v>
      </c>
      <c r="U295" s="21">
        <v>3629</v>
      </c>
      <c r="V295" s="21">
        <v>4538</v>
      </c>
      <c r="W295" s="21">
        <v>4264</v>
      </c>
      <c r="X295" s="21">
        <v>2493</v>
      </c>
      <c r="Y295" s="21">
        <v>2225</v>
      </c>
      <c r="Z295" s="67">
        <v>25197</v>
      </c>
    </row>
    <row r="296" spans="2:26" x14ac:dyDescent="0.3">
      <c r="B296" s="13" t="s">
        <v>9</v>
      </c>
      <c r="C296" s="66">
        <v>743</v>
      </c>
      <c r="D296" s="21">
        <v>760</v>
      </c>
      <c r="E296" s="21">
        <v>631</v>
      </c>
      <c r="F296" s="21">
        <v>801</v>
      </c>
      <c r="G296" s="21">
        <v>682</v>
      </c>
      <c r="H296" s="21">
        <v>361</v>
      </c>
      <c r="I296" s="21">
        <v>290</v>
      </c>
      <c r="J296" s="67">
        <v>4268</v>
      </c>
      <c r="K296" s="66">
        <v>1027</v>
      </c>
      <c r="L296" s="21">
        <v>789</v>
      </c>
      <c r="M296" s="21">
        <v>771</v>
      </c>
      <c r="N296" s="21">
        <v>1050</v>
      </c>
      <c r="O296" s="21">
        <v>1030</v>
      </c>
      <c r="P296" s="21">
        <v>644</v>
      </c>
      <c r="Q296" s="21">
        <v>471</v>
      </c>
      <c r="R296" s="67">
        <v>5782</v>
      </c>
      <c r="S296" s="66">
        <v>1770</v>
      </c>
      <c r="T296" s="21">
        <v>1549</v>
      </c>
      <c r="U296" s="21">
        <v>1402</v>
      </c>
      <c r="V296" s="21">
        <v>1851</v>
      </c>
      <c r="W296" s="21">
        <v>1712</v>
      </c>
      <c r="X296" s="21">
        <v>1005</v>
      </c>
      <c r="Y296" s="21">
        <v>761</v>
      </c>
      <c r="Z296" s="67">
        <v>10050</v>
      </c>
    </row>
    <row r="297" spans="2:26" x14ac:dyDescent="0.3">
      <c r="B297" s="13" t="s">
        <v>10</v>
      </c>
      <c r="C297" s="66">
        <v>274</v>
      </c>
      <c r="D297" s="21">
        <v>234</v>
      </c>
      <c r="E297" s="21">
        <v>216</v>
      </c>
      <c r="F297" s="21">
        <v>320</v>
      </c>
      <c r="G297" s="21">
        <v>276</v>
      </c>
      <c r="H297" s="21">
        <v>124</v>
      </c>
      <c r="I297" s="21">
        <v>54</v>
      </c>
      <c r="J297" s="67">
        <v>1498</v>
      </c>
      <c r="K297" s="66">
        <v>403</v>
      </c>
      <c r="L297" s="21">
        <v>323</v>
      </c>
      <c r="M297" s="21">
        <v>327</v>
      </c>
      <c r="N297" s="21">
        <v>515</v>
      </c>
      <c r="O297" s="21">
        <v>525</v>
      </c>
      <c r="P297" s="21">
        <v>245</v>
      </c>
      <c r="Q297" s="21">
        <v>99</v>
      </c>
      <c r="R297" s="67">
        <v>2437</v>
      </c>
      <c r="S297" s="66">
        <v>677</v>
      </c>
      <c r="T297" s="21">
        <v>557</v>
      </c>
      <c r="U297" s="21">
        <v>543</v>
      </c>
      <c r="V297" s="21">
        <v>835</v>
      </c>
      <c r="W297" s="21">
        <v>801</v>
      </c>
      <c r="X297" s="21">
        <v>369</v>
      </c>
      <c r="Y297" s="21">
        <v>153</v>
      </c>
      <c r="Z297" s="67">
        <v>3935</v>
      </c>
    </row>
    <row r="298" spans="2:26" x14ac:dyDescent="0.3">
      <c r="B298" s="13" t="s">
        <v>11</v>
      </c>
      <c r="C298" s="66">
        <v>188</v>
      </c>
      <c r="D298" s="21">
        <v>203</v>
      </c>
      <c r="E298" s="21">
        <v>178</v>
      </c>
      <c r="F298" s="21">
        <v>226</v>
      </c>
      <c r="G298" s="21">
        <v>251</v>
      </c>
      <c r="H298" s="21">
        <v>155</v>
      </c>
      <c r="I298" s="21">
        <v>165</v>
      </c>
      <c r="J298" s="67">
        <v>1366</v>
      </c>
      <c r="K298" s="66">
        <v>231</v>
      </c>
      <c r="L298" s="21">
        <v>237</v>
      </c>
      <c r="M298" s="21">
        <v>248</v>
      </c>
      <c r="N298" s="21">
        <v>325</v>
      </c>
      <c r="O298" s="21">
        <v>382</v>
      </c>
      <c r="P298" s="21">
        <v>230</v>
      </c>
      <c r="Q298" s="21">
        <v>269</v>
      </c>
      <c r="R298" s="67">
        <v>1922</v>
      </c>
      <c r="S298" s="66">
        <v>419</v>
      </c>
      <c r="T298" s="21">
        <v>440</v>
      </c>
      <c r="U298" s="21">
        <v>426</v>
      </c>
      <c r="V298" s="21">
        <v>551</v>
      </c>
      <c r="W298" s="21">
        <v>633</v>
      </c>
      <c r="X298" s="21">
        <v>385</v>
      </c>
      <c r="Y298" s="21">
        <v>434</v>
      </c>
      <c r="Z298" s="67">
        <v>3288</v>
      </c>
    </row>
    <row r="299" spans="2:26" x14ac:dyDescent="0.3">
      <c r="B299" s="13" t="s">
        <v>12</v>
      </c>
      <c r="C299" s="66">
        <v>1254</v>
      </c>
      <c r="D299" s="21">
        <v>1590</v>
      </c>
      <c r="E299" s="21">
        <v>1487</v>
      </c>
      <c r="F299" s="21">
        <v>2101</v>
      </c>
      <c r="G299" s="21">
        <v>2063</v>
      </c>
      <c r="H299" s="21">
        <v>982</v>
      </c>
      <c r="I299" s="21">
        <v>419</v>
      </c>
      <c r="J299" s="67">
        <v>9896</v>
      </c>
      <c r="K299" s="66">
        <v>1694</v>
      </c>
      <c r="L299" s="21">
        <v>1500</v>
      </c>
      <c r="M299" s="21">
        <v>1688</v>
      </c>
      <c r="N299" s="21">
        <v>2777</v>
      </c>
      <c r="O299" s="21">
        <v>3176</v>
      </c>
      <c r="P299" s="21">
        <v>1651</v>
      </c>
      <c r="Q299" s="21">
        <v>729</v>
      </c>
      <c r="R299" s="67">
        <v>13215</v>
      </c>
      <c r="S299" s="66">
        <v>2948</v>
      </c>
      <c r="T299" s="21">
        <v>3090</v>
      </c>
      <c r="U299" s="21">
        <v>3175</v>
      </c>
      <c r="V299" s="21">
        <v>4878</v>
      </c>
      <c r="W299" s="21">
        <v>5239</v>
      </c>
      <c r="X299" s="21">
        <v>2633</v>
      </c>
      <c r="Y299" s="21">
        <v>1148</v>
      </c>
      <c r="Z299" s="67">
        <v>23111</v>
      </c>
    </row>
    <row r="300" spans="2:26" x14ac:dyDescent="0.3">
      <c r="B300" s="13" t="s">
        <v>13</v>
      </c>
      <c r="C300" s="66"/>
      <c r="D300" s="21"/>
      <c r="E300" s="21"/>
      <c r="F300" s="21"/>
      <c r="G300" s="21"/>
      <c r="H300" s="21"/>
      <c r="I300" s="21"/>
      <c r="J300" s="67"/>
      <c r="K300" s="66"/>
      <c r="L300" s="21"/>
      <c r="M300" s="21"/>
      <c r="N300" s="21"/>
      <c r="O300" s="21"/>
      <c r="P300" s="21"/>
      <c r="Q300" s="21"/>
      <c r="R300" s="67"/>
      <c r="S300" s="66"/>
      <c r="T300" s="21"/>
      <c r="U300" s="21"/>
      <c r="V300" s="21"/>
      <c r="W300" s="21"/>
      <c r="X300" s="21"/>
      <c r="Y300" s="21"/>
      <c r="Z300" s="67"/>
    </row>
    <row r="301" spans="2:26" x14ac:dyDescent="0.3">
      <c r="B301" s="13" t="s">
        <v>14</v>
      </c>
      <c r="C301" s="66">
        <v>5</v>
      </c>
      <c r="D301" s="21">
        <v>4</v>
      </c>
      <c r="E301" s="21">
        <v>3</v>
      </c>
      <c r="F301" s="21">
        <v>2</v>
      </c>
      <c r="G301" s="21">
        <v>1</v>
      </c>
      <c r="H301" s="21"/>
      <c r="I301" s="21">
        <v>1</v>
      </c>
      <c r="J301" s="67">
        <v>16</v>
      </c>
      <c r="K301" s="66"/>
      <c r="L301" s="21">
        <v>4</v>
      </c>
      <c r="M301" s="21">
        <v>2</v>
      </c>
      <c r="N301" s="21">
        <v>5</v>
      </c>
      <c r="O301" s="21">
        <v>4</v>
      </c>
      <c r="P301" s="21">
        <v>1</v>
      </c>
      <c r="Q301" s="21">
        <v>6</v>
      </c>
      <c r="R301" s="67">
        <v>22</v>
      </c>
      <c r="S301" s="66">
        <v>5</v>
      </c>
      <c r="T301" s="21">
        <v>8</v>
      </c>
      <c r="U301" s="21">
        <v>5</v>
      </c>
      <c r="V301" s="21">
        <v>7</v>
      </c>
      <c r="W301" s="21">
        <v>5</v>
      </c>
      <c r="X301" s="21">
        <v>1</v>
      </c>
      <c r="Y301" s="21">
        <v>7</v>
      </c>
      <c r="Z301" s="67">
        <v>38</v>
      </c>
    </row>
    <row r="302" spans="2:26" x14ac:dyDescent="0.3">
      <c r="B302" s="13" t="s">
        <v>15</v>
      </c>
      <c r="C302" s="66">
        <v>1156</v>
      </c>
      <c r="D302" s="21">
        <v>1229</v>
      </c>
      <c r="E302" s="21">
        <v>1435</v>
      </c>
      <c r="F302" s="21">
        <v>2134</v>
      </c>
      <c r="G302" s="21">
        <v>2503</v>
      </c>
      <c r="H302" s="21">
        <v>1043</v>
      </c>
      <c r="I302" s="21">
        <v>561</v>
      </c>
      <c r="J302" s="67">
        <v>10061</v>
      </c>
      <c r="K302" s="66">
        <v>889</v>
      </c>
      <c r="L302" s="21">
        <v>991</v>
      </c>
      <c r="M302" s="21">
        <v>1280</v>
      </c>
      <c r="N302" s="21">
        <v>2324</v>
      </c>
      <c r="O302" s="21">
        <v>3226</v>
      </c>
      <c r="P302" s="21">
        <v>1385</v>
      </c>
      <c r="Q302" s="21">
        <v>980</v>
      </c>
      <c r="R302" s="67">
        <v>11075</v>
      </c>
      <c r="S302" s="66">
        <v>2045</v>
      </c>
      <c r="T302" s="21">
        <v>2220</v>
      </c>
      <c r="U302" s="21">
        <v>2715</v>
      </c>
      <c r="V302" s="21">
        <v>4458</v>
      </c>
      <c r="W302" s="21">
        <v>5729</v>
      </c>
      <c r="X302" s="21">
        <v>2428</v>
      </c>
      <c r="Y302" s="21">
        <v>1541</v>
      </c>
      <c r="Z302" s="67">
        <v>21136</v>
      </c>
    </row>
    <row r="303" spans="2:26" x14ac:dyDescent="0.3">
      <c r="B303" s="13" t="s">
        <v>16</v>
      </c>
      <c r="C303" s="66">
        <v>862</v>
      </c>
      <c r="D303" s="21">
        <v>989</v>
      </c>
      <c r="E303" s="21">
        <v>1036</v>
      </c>
      <c r="F303" s="21">
        <v>1504</v>
      </c>
      <c r="G303" s="21">
        <v>1765</v>
      </c>
      <c r="H303" s="21">
        <v>1231</v>
      </c>
      <c r="I303" s="21">
        <v>1100</v>
      </c>
      <c r="J303" s="67">
        <v>8487</v>
      </c>
      <c r="K303" s="66">
        <v>1014</v>
      </c>
      <c r="L303" s="21">
        <v>1041</v>
      </c>
      <c r="M303" s="21">
        <v>1296</v>
      </c>
      <c r="N303" s="21">
        <v>1990</v>
      </c>
      <c r="O303" s="21">
        <v>2454</v>
      </c>
      <c r="P303" s="21">
        <v>1464</v>
      </c>
      <c r="Q303" s="21">
        <v>1228</v>
      </c>
      <c r="R303" s="67">
        <v>10487</v>
      </c>
      <c r="S303" s="66">
        <v>1876</v>
      </c>
      <c r="T303" s="21">
        <v>2030</v>
      </c>
      <c r="U303" s="21">
        <v>2332</v>
      </c>
      <c r="V303" s="21">
        <v>3494</v>
      </c>
      <c r="W303" s="21">
        <v>4219</v>
      </c>
      <c r="X303" s="21">
        <v>2695</v>
      </c>
      <c r="Y303" s="21">
        <v>2328</v>
      </c>
      <c r="Z303" s="67">
        <v>18974</v>
      </c>
    </row>
    <row r="304" spans="2:26" x14ac:dyDescent="0.3">
      <c r="B304" s="13" t="s">
        <v>17</v>
      </c>
      <c r="C304" s="66">
        <v>174</v>
      </c>
      <c r="D304" s="21">
        <v>141</v>
      </c>
      <c r="E304" s="21">
        <v>127</v>
      </c>
      <c r="F304" s="21">
        <v>167</v>
      </c>
      <c r="G304" s="21">
        <v>164</v>
      </c>
      <c r="H304" s="21">
        <v>126</v>
      </c>
      <c r="I304" s="21">
        <v>137</v>
      </c>
      <c r="J304" s="67">
        <v>1036</v>
      </c>
      <c r="K304" s="66">
        <v>138</v>
      </c>
      <c r="L304" s="21">
        <v>76</v>
      </c>
      <c r="M304" s="21">
        <v>137</v>
      </c>
      <c r="N304" s="21">
        <v>162</v>
      </c>
      <c r="O304" s="21">
        <v>252</v>
      </c>
      <c r="P304" s="21">
        <v>148</v>
      </c>
      <c r="Q304" s="21">
        <v>213</v>
      </c>
      <c r="R304" s="67">
        <v>1126</v>
      </c>
      <c r="S304" s="66">
        <v>312</v>
      </c>
      <c r="T304" s="21">
        <v>217</v>
      </c>
      <c r="U304" s="21">
        <v>264</v>
      </c>
      <c r="V304" s="21">
        <v>329</v>
      </c>
      <c r="W304" s="21">
        <v>416</v>
      </c>
      <c r="X304" s="21">
        <v>274</v>
      </c>
      <c r="Y304" s="21">
        <v>350</v>
      </c>
      <c r="Z304" s="67">
        <v>2162</v>
      </c>
    </row>
    <row r="305" spans="1:26" x14ac:dyDescent="0.3">
      <c r="B305" s="13" t="s">
        <v>18</v>
      </c>
      <c r="C305" s="66">
        <v>540</v>
      </c>
      <c r="D305" s="21">
        <v>639</v>
      </c>
      <c r="E305" s="21">
        <v>881</v>
      </c>
      <c r="F305" s="21">
        <v>1359</v>
      </c>
      <c r="G305" s="21">
        <v>1855</v>
      </c>
      <c r="H305" s="21">
        <v>1023</v>
      </c>
      <c r="I305" s="21">
        <v>869</v>
      </c>
      <c r="J305" s="67">
        <v>7166</v>
      </c>
      <c r="K305" s="66">
        <v>514</v>
      </c>
      <c r="L305" s="21">
        <v>621</v>
      </c>
      <c r="M305" s="21">
        <v>990</v>
      </c>
      <c r="N305" s="21">
        <v>1756</v>
      </c>
      <c r="O305" s="21">
        <v>2600</v>
      </c>
      <c r="P305" s="21">
        <v>1478</v>
      </c>
      <c r="Q305" s="21">
        <v>1567</v>
      </c>
      <c r="R305" s="67">
        <v>9526</v>
      </c>
      <c r="S305" s="66">
        <v>1054</v>
      </c>
      <c r="T305" s="21">
        <v>1260</v>
      </c>
      <c r="U305" s="21">
        <v>1871</v>
      </c>
      <c r="V305" s="21">
        <v>3115</v>
      </c>
      <c r="W305" s="21">
        <v>4455</v>
      </c>
      <c r="X305" s="21">
        <v>2501</v>
      </c>
      <c r="Y305" s="21">
        <v>2436</v>
      </c>
      <c r="Z305" s="67">
        <v>16692</v>
      </c>
    </row>
    <row r="306" spans="1:26" x14ac:dyDescent="0.3">
      <c r="B306" s="13" t="s">
        <v>19</v>
      </c>
      <c r="C306" s="66">
        <v>1174</v>
      </c>
      <c r="D306" s="21">
        <v>1530</v>
      </c>
      <c r="E306" s="21">
        <v>1768</v>
      </c>
      <c r="F306" s="21">
        <v>2244</v>
      </c>
      <c r="G306" s="21">
        <v>2449</v>
      </c>
      <c r="H306" s="21">
        <v>1346</v>
      </c>
      <c r="I306" s="21">
        <v>1384</v>
      </c>
      <c r="J306" s="67">
        <v>11895</v>
      </c>
      <c r="K306" s="66">
        <v>861</v>
      </c>
      <c r="L306" s="21">
        <v>994</v>
      </c>
      <c r="M306" s="21">
        <v>1254</v>
      </c>
      <c r="N306" s="21">
        <v>2086</v>
      </c>
      <c r="O306" s="21">
        <v>2768</v>
      </c>
      <c r="P306" s="21">
        <v>1721</v>
      </c>
      <c r="Q306" s="21">
        <v>2461</v>
      </c>
      <c r="R306" s="67">
        <v>12145</v>
      </c>
      <c r="S306" s="66">
        <v>2035</v>
      </c>
      <c r="T306" s="21">
        <v>2524</v>
      </c>
      <c r="U306" s="21">
        <v>3022</v>
      </c>
      <c r="V306" s="21">
        <v>4330</v>
      </c>
      <c r="W306" s="21">
        <v>5217</v>
      </c>
      <c r="X306" s="21">
        <v>3067</v>
      </c>
      <c r="Y306" s="21">
        <v>3845</v>
      </c>
      <c r="Z306" s="67">
        <v>24040</v>
      </c>
    </row>
    <row r="307" spans="1:26" x14ac:dyDescent="0.3">
      <c r="B307" s="13" t="s">
        <v>20</v>
      </c>
      <c r="C307" s="66">
        <v>207</v>
      </c>
      <c r="D307" s="21">
        <v>245</v>
      </c>
      <c r="E307" s="21">
        <v>240</v>
      </c>
      <c r="F307" s="21">
        <v>309</v>
      </c>
      <c r="G307" s="21">
        <v>356</v>
      </c>
      <c r="H307" s="21">
        <v>194</v>
      </c>
      <c r="I307" s="21">
        <v>113</v>
      </c>
      <c r="J307" s="67">
        <v>1664</v>
      </c>
      <c r="K307" s="66">
        <v>233</v>
      </c>
      <c r="L307" s="21">
        <v>250</v>
      </c>
      <c r="M307" s="21">
        <v>357</v>
      </c>
      <c r="N307" s="21">
        <v>454</v>
      </c>
      <c r="O307" s="21">
        <v>569</v>
      </c>
      <c r="P307" s="21">
        <v>388</v>
      </c>
      <c r="Q307" s="21">
        <v>230</v>
      </c>
      <c r="R307" s="67">
        <v>2481</v>
      </c>
      <c r="S307" s="66">
        <v>440</v>
      </c>
      <c r="T307" s="21">
        <v>495</v>
      </c>
      <c r="U307" s="21">
        <v>597</v>
      </c>
      <c r="V307" s="21">
        <v>763</v>
      </c>
      <c r="W307" s="21">
        <v>925</v>
      </c>
      <c r="X307" s="21">
        <v>582</v>
      </c>
      <c r="Y307" s="21">
        <v>343</v>
      </c>
      <c r="Z307" s="67">
        <v>4145</v>
      </c>
    </row>
    <row r="308" spans="1:26" ht="14.5" thickBot="1" x14ac:dyDescent="0.35">
      <c r="B308" s="15" t="s">
        <v>1</v>
      </c>
      <c r="C308" s="68">
        <v>16478</v>
      </c>
      <c r="D308" s="22">
        <v>17984</v>
      </c>
      <c r="E308" s="22">
        <v>16305</v>
      </c>
      <c r="F308" s="22">
        <v>20537</v>
      </c>
      <c r="G308" s="22">
        <v>21880</v>
      </c>
      <c r="H308" s="22">
        <v>12066</v>
      </c>
      <c r="I308" s="22">
        <v>9093</v>
      </c>
      <c r="J308" s="69">
        <v>114343</v>
      </c>
      <c r="K308" s="68">
        <v>19199</v>
      </c>
      <c r="L308" s="22">
        <v>17723</v>
      </c>
      <c r="M308" s="22">
        <v>18426</v>
      </c>
      <c r="N308" s="22">
        <v>26004</v>
      </c>
      <c r="O308" s="22">
        <v>30238</v>
      </c>
      <c r="P308" s="22">
        <v>17659</v>
      </c>
      <c r="Q308" s="22">
        <v>15407</v>
      </c>
      <c r="R308" s="69">
        <v>144656</v>
      </c>
      <c r="S308" s="68">
        <v>35677</v>
      </c>
      <c r="T308" s="22">
        <v>35707</v>
      </c>
      <c r="U308" s="22">
        <v>34731</v>
      </c>
      <c r="V308" s="22">
        <v>46541</v>
      </c>
      <c r="W308" s="22">
        <v>52118</v>
      </c>
      <c r="X308" s="22">
        <v>29725</v>
      </c>
      <c r="Y308" s="22">
        <v>24500</v>
      </c>
      <c r="Z308" s="69">
        <v>258999</v>
      </c>
    </row>
    <row r="309" spans="1:26" ht="34.5" customHeight="1" x14ac:dyDescent="0.3">
      <c r="R309" s="54"/>
    </row>
    <row r="310" spans="1:26" x14ac:dyDescent="0.3">
      <c r="R310" s="54"/>
    </row>
    <row r="311" spans="1:26" ht="27" customHeight="1" x14ac:dyDescent="0.3">
      <c r="A311" s="478" t="s">
        <v>236</v>
      </c>
      <c r="B311" s="478"/>
      <c r="C311" s="478"/>
      <c r="D311" s="478"/>
      <c r="E311" s="478"/>
      <c r="F311" s="478"/>
      <c r="G311" s="478"/>
      <c r="H311" s="478"/>
      <c r="I311" s="478"/>
      <c r="J311" s="478"/>
      <c r="K311" s="478"/>
      <c r="R311" s="54"/>
    </row>
    <row r="312" spans="1:26" ht="14.5" thickBot="1" x14ac:dyDescent="0.35">
      <c r="R312" s="54"/>
    </row>
    <row r="313" spans="1:26" ht="84" thickBot="1" x14ac:dyDescent="0.35">
      <c r="B313" s="6" t="s">
        <v>2</v>
      </c>
      <c r="C313" s="7" t="s">
        <v>35</v>
      </c>
      <c r="D313" s="7" t="s">
        <v>36</v>
      </c>
      <c r="E313" s="7" t="s">
        <v>37</v>
      </c>
      <c r="F313" s="7" t="s">
        <v>177</v>
      </c>
      <c r="G313" s="7" t="s">
        <v>38</v>
      </c>
      <c r="H313" s="7" t="s">
        <v>39</v>
      </c>
      <c r="I313" s="7" t="s">
        <v>178</v>
      </c>
      <c r="J313" s="7" t="s">
        <v>40</v>
      </c>
      <c r="K313" s="7" t="s">
        <v>41</v>
      </c>
      <c r="L313" s="7" t="s">
        <v>42</v>
      </c>
      <c r="M313" s="7" t="s">
        <v>43</v>
      </c>
      <c r="N313" s="8" t="s">
        <v>44</v>
      </c>
      <c r="O313" s="8" t="s">
        <v>0</v>
      </c>
      <c r="R313" s="54"/>
    </row>
    <row r="314" spans="1:26" x14ac:dyDescent="0.3">
      <c r="B314" s="551" t="s">
        <v>3</v>
      </c>
      <c r="C314" s="24" t="s">
        <v>25</v>
      </c>
      <c r="D314" s="129">
        <v>0.92376270383663905</v>
      </c>
      <c r="E314" s="130">
        <v>3.3423414193362002</v>
      </c>
      <c r="F314" s="130">
        <v>0.985346884092414</v>
      </c>
      <c r="G314" s="130">
        <v>0.77260153411791599</v>
      </c>
      <c r="H314" s="130">
        <v>3.3871299140676698</v>
      </c>
      <c r="I314" s="130">
        <v>25.8373628982187</v>
      </c>
      <c r="J314" s="130">
        <v>1.5396045063943999</v>
      </c>
      <c r="K314" s="130">
        <v>0.68302454465496898</v>
      </c>
      <c r="L314" s="130">
        <v>1.0301353788238901</v>
      </c>
      <c r="M314" s="130">
        <v>1.58439300112587</v>
      </c>
      <c r="N314" s="131">
        <v>3.6390651969322101</v>
      </c>
      <c r="O314" s="131">
        <v>43.724767981600898</v>
      </c>
      <c r="R314" s="54"/>
    </row>
    <row r="315" spans="1:26" x14ac:dyDescent="0.3">
      <c r="B315" s="552"/>
      <c r="C315" s="25" t="s">
        <v>26</v>
      </c>
      <c r="D315" s="132">
        <v>0.28434162276923503</v>
      </c>
      <c r="E315" s="132">
        <v>5.1392115522735704</v>
      </c>
      <c r="F315" s="132">
        <v>0.93200865241026898</v>
      </c>
      <c r="G315" s="132">
        <v>1.07417946379489</v>
      </c>
      <c r="H315" s="132">
        <v>5.6973636265983698</v>
      </c>
      <c r="I315" s="132">
        <v>28.908064981538899</v>
      </c>
      <c r="J315" s="132">
        <v>1.7376432502564301</v>
      </c>
      <c r="K315" s="132">
        <v>0.90041513876924295</v>
      </c>
      <c r="L315" s="132">
        <v>0.72138522813676198</v>
      </c>
      <c r="M315" s="132">
        <v>1.1373664910769401</v>
      </c>
      <c r="N315" s="131">
        <v>4.9812439840684402</v>
      </c>
      <c r="O315" s="131">
        <v>51.513223991693003</v>
      </c>
      <c r="R315" s="54"/>
    </row>
    <row r="316" spans="1:26" ht="14.5" thickBot="1" x14ac:dyDescent="0.35">
      <c r="B316" s="553"/>
      <c r="C316" s="26" t="s">
        <v>0</v>
      </c>
      <c r="D316" s="133">
        <v>0.59425332612269799</v>
      </c>
      <c r="E316" s="133">
        <v>4.2683127031552699</v>
      </c>
      <c r="F316" s="134">
        <v>0.95786038411558105</v>
      </c>
      <c r="G316" s="134">
        <v>0.92801204353407596</v>
      </c>
      <c r="H316" s="134">
        <v>4.57765005099996</v>
      </c>
      <c r="I316" s="134">
        <v>27.4197710523738</v>
      </c>
      <c r="J316" s="134">
        <v>1.6416587319828</v>
      </c>
      <c r="K316" s="134">
        <v>0.79505125367100704</v>
      </c>
      <c r="L316" s="134">
        <v>0.87102884787847501</v>
      </c>
      <c r="M316" s="134">
        <v>1.35402926819738</v>
      </c>
      <c r="N316" s="135">
        <v>4.3307228698256903</v>
      </c>
      <c r="O316" s="135">
        <v>47.738350531856703</v>
      </c>
    </row>
    <row r="317" spans="1:26" x14ac:dyDescent="0.3">
      <c r="B317" s="551" t="s">
        <v>4</v>
      </c>
      <c r="C317" s="24" t="s">
        <v>25</v>
      </c>
      <c r="D317" s="129">
        <v>5.2394628580299596</v>
      </c>
      <c r="E317" s="130">
        <v>14.9421718543817</v>
      </c>
      <c r="F317" s="130">
        <v>5.0454086781029304</v>
      </c>
      <c r="G317" s="130">
        <v>1.94054179927036</v>
      </c>
      <c r="H317" s="130">
        <v>19.599472172630598</v>
      </c>
      <c r="I317" s="130">
        <v>0</v>
      </c>
      <c r="J317" s="130">
        <v>8.5383839167895701</v>
      </c>
      <c r="K317" s="130">
        <v>4.8513544981758896</v>
      </c>
      <c r="L317" s="130">
        <v>3.6870294186136801</v>
      </c>
      <c r="M317" s="130">
        <v>11.8373049755492</v>
      </c>
      <c r="N317" s="131">
        <v>19.987580532484699</v>
      </c>
      <c r="O317" s="131">
        <v>95.668710704028598</v>
      </c>
    </row>
    <row r="318" spans="1:26" x14ac:dyDescent="0.3">
      <c r="B318" s="552"/>
      <c r="C318" s="25" t="s">
        <v>26</v>
      </c>
      <c r="D318" s="132">
        <v>0.73541578569984001</v>
      </c>
      <c r="E318" s="132">
        <v>20.040080160320599</v>
      </c>
      <c r="F318" s="132">
        <v>4.7802026070489596</v>
      </c>
      <c r="G318" s="132">
        <v>2.57395524994944</v>
      </c>
      <c r="H318" s="132">
        <v>32.174440624368003</v>
      </c>
      <c r="I318" s="132">
        <v>0.73541578569984001</v>
      </c>
      <c r="J318" s="132">
        <v>9.0088433748230408</v>
      </c>
      <c r="K318" s="132">
        <v>5.5156183927487996</v>
      </c>
      <c r="L318" s="132">
        <v>2.20624735709952</v>
      </c>
      <c r="M318" s="132">
        <v>9.7442591605228799</v>
      </c>
      <c r="N318" s="131">
        <v>27.394238017319001</v>
      </c>
      <c r="O318" s="131">
        <v>114.90871651560001</v>
      </c>
    </row>
    <row r="319" spans="1:26" ht="14.5" thickBot="1" x14ac:dyDescent="0.35">
      <c r="B319" s="557"/>
      <c r="C319" s="27" t="s">
        <v>0</v>
      </c>
      <c r="D319" s="133">
        <v>2.92665426772278</v>
      </c>
      <c r="E319" s="133">
        <v>17.559925606336702</v>
      </c>
      <c r="F319" s="134">
        <v>4.9092265135995001</v>
      </c>
      <c r="G319" s="134">
        <v>2.2657968524305399</v>
      </c>
      <c r="H319" s="134">
        <v>26.056663802951199</v>
      </c>
      <c r="I319" s="134">
        <v>0.37763280873842298</v>
      </c>
      <c r="J319" s="134">
        <v>8.7799628031683401</v>
      </c>
      <c r="K319" s="134">
        <v>5.1924511201533203</v>
      </c>
      <c r="L319" s="134">
        <v>2.92665426772278</v>
      </c>
      <c r="M319" s="134">
        <v>10.7625350490451</v>
      </c>
      <c r="N319" s="135">
        <v>23.790866950520702</v>
      </c>
      <c r="O319" s="135">
        <v>105.548370042389</v>
      </c>
    </row>
    <row r="320" spans="1:26" x14ac:dyDescent="0.3">
      <c r="B320" s="551" t="s">
        <v>5</v>
      </c>
      <c r="C320" s="24" t="s">
        <v>25</v>
      </c>
      <c r="D320" s="129">
        <v>2.0366428180818499</v>
      </c>
      <c r="E320" s="130">
        <v>1.2444820980053599</v>
      </c>
      <c r="F320" s="130">
        <v>3.3242031425566201</v>
      </c>
      <c r="G320" s="130">
        <v>0.73950955439164601</v>
      </c>
      <c r="H320" s="130">
        <v>8.1154592198772502</v>
      </c>
      <c r="I320" s="130">
        <v>20.0385550126901</v>
      </c>
      <c r="J320" s="130">
        <v>2.7378606156117899</v>
      </c>
      <c r="K320" s="130">
        <v>1.3808964818251801</v>
      </c>
      <c r="L320" s="130">
        <v>0.94532774752330095</v>
      </c>
      <c r="M320" s="130">
        <v>5.0233998532947099</v>
      </c>
      <c r="N320" s="131">
        <v>5.24118422044564</v>
      </c>
      <c r="O320" s="131">
        <v>50.8275207643035</v>
      </c>
    </row>
    <row r="321" spans="2:15" x14ac:dyDescent="0.3">
      <c r="B321" s="552"/>
      <c r="C321" s="25" t="s">
        <v>26</v>
      </c>
      <c r="D321" s="132">
        <v>0.31732196696701098</v>
      </c>
      <c r="E321" s="132">
        <v>2.1482012296112099</v>
      </c>
      <c r="F321" s="132">
        <v>2.7371873265715601</v>
      </c>
      <c r="G321" s="132">
        <v>0.74193985082214897</v>
      </c>
      <c r="H321" s="132">
        <v>14.0032585998248</v>
      </c>
      <c r="I321" s="132">
        <v>21.879235477782998</v>
      </c>
      <c r="J321" s="132">
        <v>3.7439426318410001</v>
      </c>
      <c r="K321" s="132">
        <v>1.50442572828245</v>
      </c>
      <c r="L321" s="132">
        <v>0.76933455300635201</v>
      </c>
      <c r="M321" s="132">
        <v>3.5567455002489501</v>
      </c>
      <c r="N321" s="131">
        <v>7.4833194799846297</v>
      </c>
      <c r="O321" s="131">
        <v>58.884912344943103</v>
      </c>
    </row>
    <row r="322" spans="2:15" ht="14.5" thickBot="1" x14ac:dyDescent="0.35">
      <c r="B322" s="557"/>
      <c r="C322" s="27" t="s">
        <v>0</v>
      </c>
      <c r="D322" s="133">
        <v>1.1566969129278299</v>
      </c>
      <c r="E322" s="133">
        <v>1.7070042321086401</v>
      </c>
      <c r="F322" s="134">
        <v>3.0237693036941602</v>
      </c>
      <c r="G322" s="134">
        <v>0.74075337656186202</v>
      </c>
      <c r="H322" s="134">
        <v>11.128826359229899</v>
      </c>
      <c r="I322" s="134">
        <v>20.9806125913586</v>
      </c>
      <c r="J322" s="134">
        <v>3.25277192483947</v>
      </c>
      <c r="K322" s="134">
        <v>1.44411857007959</v>
      </c>
      <c r="L322" s="134">
        <v>0.85525468713451602</v>
      </c>
      <c r="M322" s="134">
        <v>4.2727682935121898</v>
      </c>
      <c r="N322" s="135">
        <v>6.3887057776660301</v>
      </c>
      <c r="O322" s="135">
        <v>54.951282029112797</v>
      </c>
    </row>
    <row r="323" spans="2:15" x14ac:dyDescent="0.3">
      <c r="B323" s="551" t="s">
        <v>23</v>
      </c>
      <c r="C323" s="24" t="s">
        <v>25</v>
      </c>
      <c r="D323" s="129">
        <v>0.32007901379083298</v>
      </c>
      <c r="E323" s="130">
        <v>3.1093389911109499</v>
      </c>
      <c r="F323" s="130">
        <v>8.9622123861433192</v>
      </c>
      <c r="G323" s="130">
        <v>0.77733474777773703</v>
      </c>
      <c r="H323" s="130">
        <v>4.1153016058821397</v>
      </c>
      <c r="I323" s="130">
        <v>63.558547024179703</v>
      </c>
      <c r="J323" s="130">
        <v>0.457255733986904</v>
      </c>
      <c r="K323" s="130">
        <v>0.18290229359476201</v>
      </c>
      <c r="L323" s="130">
        <v>9.1451146797380797E-2</v>
      </c>
      <c r="M323" s="130">
        <v>0.914511467973809</v>
      </c>
      <c r="N323" s="131">
        <v>1.9661996561436901</v>
      </c>
      <c r="O323" s="131">
        <v>84.455134067381195</v>
      </c>
    </row>
    <row r="324" spans="2:15" x14ac:dyDescent="0.3">
      <c r="B324" s="552"/>
      <c r="C324" s="25" t="s">
        <v>26</v>
      </c>
      <c r="D324" s="132">
        <v>4.4295218774085501E-2</v>
      </c>
      <c r="E324" s="132">
        <v>3.7207983770231801</v>
      </c>
      <c r="F324" s="132">
        <v>8.5932724421725908</v>
      </c>
      <c r="G324" s="132">
        <v>0.575837844063112</v>
      </c>
      <c r="H324" s="132">
        <v>5.3154262528902603</v>
      </c>
      <c r="I324" s="132">
        <v>77.295156760779193</v>
      </c>
      <c r="J324" s="132">
        <v>0.62013306283719705</v>
      </c>
      <c r="K324" s="132">
        <v>0.97449481302988195</v>
      </c>
      <c r="L324" s="132">
        <v>8.8590437548171003E-2</v>
      </c>
      <c r="M324" s="132">
        <v>0.84160915670762504</v>
      </c>
      <c r="N324" s="131">
        <v>3.7207983770231801</v>
      </c>
      <c r="O324" s="131">
        <v>101.790412742849</v>
      </c>
    </row>
    <row r="325" spans="2:15" ht="14.5" thickBot="1" x14ac:dyDescent="0.35">
      <c r="B325" s="557"/>
      <c r="C325" s="27" t="s">
        <v>0</v>
      </c>
      <c r="D325" s="133">
        <v>0.179996130083203</v>
      </c>
      <c r="E325" s="133">
        <v>3.4199264715808599</v>
      </c>
      <c r="F325" s="134">
        <v>8.7748113415561608</v>
      </c>
      <c r="G325" s="134">
        <v>0.67498548781201195</v>
      </c>
      <c r="H325" s="134">
        <v>4.7248984146840796</v>
      </c>
      <c r="I325" s="134">
        <v>70.535983476355298</v>
      </c>
      <c r="J325" s="134">
        <v>0.53998839024960998</v>
      </c>
      <c r="K325" s="134">
        <v>0.58498742277041005</v>
      </c>
      <c r="L325" s="134">
        <v>8.9998065041601599E-2</v>
      </c>
      <c r="M325" s="134">
        <v>0.87748113415561602</v>
      </c>
      <c r="N325" s="135">
        <v>2.8574385650708498</v>
      </c>
      <c r="O325" s="135">
        <v>93.260494899359699</v>
      </c>
    </row>
    <row r="326" spans="2:15" x14ac:dyDescent="0.3">
      <c r="B326" s="551" t="s">
        <v>24</v>
      </c>
      <c r="C326" s="24" t="s">
        <v>25</v>
      </c>
      <c r="D326" s="129">
        <v>1.58981809831258</v>
      </c>
      <c r="E326" s="130">
        <v>4.2395149288335601</v>
      </c>
      <c r="F326" s="130">
        <v>2.56137360283694</v>
      </c>
      <c r="G326" s="130">
        <v>1.05987873220839</v>
      </c>
      <c r="H326" s="130">
        <v>4.0628684734654898</v>
      </c>
      <c r="I326" s="130">
        <v>0.39745452457814601</v>
      </c>
      <c r="J326" s="130">
        <v>2.6496968305209698</v>
      </c>
      <c r="K326" s="130">
        <v>4.0187068596234798</v>
      </c>
      <c r="L326" s="130">
        <v>0.75074743531427601</v>
      </c>
      <c r="M326" s="130">
        <v>1.67814132599662</v>
      </c>
      <c r="N326" s="131">
        <v>5.8734946409881603</v>
      </c>
      <c r="O326" s="131">
        <v>28.881695452678599</v>
      </c>
    </row>
    <row r="327" spans="2:15" x14ac:dyDescent="0.3">
      <c r="B327" s="552"/>
      <c r="C327" s="25" t="s">
        <v>26</v>
      </c>
      <c r="D327" s="132">
        <v>0.509098005608563</v>
      </c>
      <c r="E327" s="132">
        <v>5.47280356029205</v>
      </c>
      <c r="F327" s="132">
        <v>2.1212416900356801</v>
      </c>
      <c r="G327" s="132">
        <v>1.5697188506263999</v>
      </c>
      <c r="H327" s="132">
        <v>7.4667707489255903</v>
      </c>
      <c r="I327" s="132">
        <v>0.63637250701070402</v>
      </c>
      <c r="J327" s="132">
        <v>3.3939867040570899</v>
      </c>
      <c r="K327" s="132">
        <v>4.9212807208827796</v>
      </c>
      <c r="L327" s="132">
        <v>0.509098005608563</v>
      </c>
      <c r="M327" s="132">
        <v>1.5697188506263999</v>
      </c>
      <c r="N327" s="131">
        <v>8.9940647657512809</v>
      </c>
      <c r="O327" s="131">
        <v>37.164154409425102</v>
      </c>
    </row>
    <row r="328" spans="2:15" ht="14.5" thickBot="1" x14ac:dyDescent="0.35">
      <c r="B328" s="557"/>
      <c r="C328" s="27" t="s">
        <v>0</v>
      </c>
      <c r="D328" s="133">
        <v>1.0386193287057099</v>
      </c>
      <c r="E328" s="133">
        <v>4.8685281033079999</v>
      </c>
      <c r="F328" s="134">
        <v>2.3368934895878399</v>
      </c>
      <c r="G328" s="134">
        <v>1.3199120635635</v>
      </c>
      <c r="H328" s="134">
        <v>5.7989579186068703</v>
      </c>
      <c r="I328" s="134">
        <v>0.51930966435285397</v>
      </c>
      <c r="J328" s="134">
        <v>3.0293063753916498</v>
      </c>
      <c r="K328" s="134">
        <v>4.4790458550433598</v>
      </c>
      <c r="L328" s="134">
        <v>0.62749917775969799</v>
      </c>
      <c r="M328" s="134">
        <v>1.62284270110267</v>
      </c>
      <c r="N328" s="135">
        <v>7.4650764250722697</v>
      </c>
      <c r="O328" s="135">
        <v>33.1059911024944</v>
      </c>
    </row>
    <row r="329" spans="2:15" x14ac:dyDescent="0.3">
      <c r="B329" s="551" t="s">
        <v>6</v>
      </c>
      <c r="C329" s="24" t="s">
        <v>25</v>
      </c>
      <c r="D329" s="129">
        <v>1.83994174989745</v>
      </c>
      <c r="E329" s="130">
        <v>4.30791695042657</v>
      </c>
      <c r="F329" s="130">
        <v>1.8252222158982701</v>
      </c>
      <c r="G329" s="130">
        <v>0.94695668728055604</v>
      </c>
      <c r="H329" s="130">
        <v>4.2637583484290298</v>
      </c>
      <c r="I329" s="130">
        <v>24.929984083277201</v>
      </c>
      <c r="J329" s="130">
        <v>1.8546612838966301</v>
      </c>
      <c r="K329" s="130">
        <v>1.4670468885849</v>
      </c>
      <c r="L329" s="130">
        <v>1.0352738912756301</v>
      </c>
      <c r="M329" s="130">
        <v>3.2579235251517602</v>
      </c>
      <c r="N329" s="131">
        <v>3.3168016611484799</v>
      </c>
      <c r="O329" s="131">
        <v>49.045487285266503</v>
      </c>
    </row>
    <row r="330" spans="2:15" x14ac:dyDescent="0.3">
      <c r="B330" s="552"/>
      <c r="C330" s="25" t="s">
        <v>26</v>
      </c>
      <c r="D330" s="132">
        <v>0.67963312934965203</v>
      </c>
      <c r="E330" s="132">
        <v>7.1759884209263296</v>
      </c>
      <c r="F330" s="132">
        <v>2.5544831413486899</v>
      </c>
      <c r="G330" s="132">
        <v>1.0780387568994501</v>
      </c>
      <c r="H330" s="132">
        <v>7.1853626709863203</v>
      </c>
      <c r="I330" s="132">
        <v>34.605044096472298</v>
      </c>
      <c r="J330" s="132">
        <v>2.5544831413486899</v>
      </c>
      <c r="K330" s="132">
        <v>1.4201988840892701</v>
      </c>
      <c r="L330" s="132">
        <v>0.64213612910967099</v>
      </c>
      <c r="M330" s="132">
        <v>2.8778947684185301</v>
      </c>
      <c r="N330" s="131">
        <v>4.5793211543076602</v>
      </c>
      <c r="O330" s="131">
        <v>65.352584293256498</v>
      </c>
    </row>
    <row r="331" spans="2:15" ht="14.5" thickBot="1" x14ac:dyDescent="0.35">
      <c r="B331" s="557"/>
      <c r="C331" s="27" t="s">
        <v>0</v>
      </c>
      <c r="D331" s="133">
        <v>1.2465205297136901</v>
      </c>
      <c r="E331" s="133">
        <v>5.77474606938517</v>
      </c>
      <c r="F331" s="134">
        <v>2.1981910110528</v>
      </c>
      <c r="G331" s="134">
        <v>1.0139965078247899</v>
      </c>
      <c r="H331" s="134">
        <v>5.7579659853313299</v>
      </c>
      <c r="I331" s="134">
        <v>29.878138235291299</v>
      </c>
      <c r="J331" s="134">
        <v>2.2125739402418101</v>
      </c>
      <c r="K331" s="134">
        <v>1.44308722863008</v>
      </c>
      <c r="L331" s="134">
        <v>0.83420989296224102</v>
      </c>
      <c r="M331" s="134">
        <v>3.0635639172578899</v>
      </c>
      <c r="N331" s="135">
        <v>3.9624969915706498</v>
      </c>
      <c r="O331" s="135">
        <v>57.385490309261698</v>
      </c>
    </row>
    <row r="332" spans="2:15" x14ac:dyDescent="0.3">
      <c r="B332" s="551" t="s">
        <v>22</v>
      </c>
      <c r="C332" s="24" t="s">
        <v>25</v>
      </c>
      <c r="D332" s="129">
        <v>1.4487934638039099</v>
      </c>
      <c r="E332" s="130">
        <v>2.9925897776933299</v>
      </c>
      <c r="F332" s="130"/>
      <c r="G332" s="130">
        <v>0.71252137564126905</v>
      </c>
      <c r="H332" s="130">
        <v>3.7526125783773501</v>
      </c>
      <c r="I332" s="130">
        <v>12.6116283488505</v>
      </c>
      <c r="J332" s="130">
        <v>1.73380201406042</v>
      </c>
      <c r="K332" s="130">
        <v>1.2587877636329099</v>
      </c>
      <c r="L332" s="130">
        <v>0.33250997529925902</v>
      </c>
      <c r="M332" s="130">
        <v>4.0138704161124803</v>
      </c>
      <c r="N332" s="131">
        <v>3.63385901577047</v>
      </c>
      <c r="O332" s="131">
        <v>32.490974729241898</v>
      </c>
    </row>
    <row r="333" spans="2:15" x14ac:dyDescent="0.3">
      <c r="B333" s="552"/>
      <c r="C333" s="25" t="s">
        <v>26</v>
      </c>
      <c r="D333" s="132">
        <v>0.47264191073369799</v>
      </c>
      <c r="E333" s="132">
        <v>6.6394935079257502</v>
      </c>
      <c r="F333" s="132"/>
      <c r="G333" s="132">
        <v>0.67520272961956795</v>
      </c>
      <c r="H333" s="132">
        <v>8.0349124824728602</v>
      </c>
      <c r="I333" s="132">
        <v>16.429933087409498</v>
      </c>
      <c r="J333" s="132">
        <v>1.89056764293479</v>
      </c>
      <c r="K333" s="132">
        <v>1.7555270970108801</v>
      </c>
      <c r="L333" s="132">
        <v>0.45013515307971202</v>
      </c>
      <c r="M333" s="132">
        <v>3.6911082552536398</v>
      </c>
      <c r="N333" s="131">
        <v>4.9064731685688603</v>
      </c>
      <c r="O333" s="131">
        <v>44.945995035009297</v>
      </c>
    </row>
    <row r="334" spans="2:15" ht="14.5" thickBot="1" x14ac:dyDescent="0.35">
      <c r="B334" s="557"/>
      <c r="C334" s="27" t="s">
        <v>0</v>
      </c>
      <c r="D334" s="133">
        <v>0.94759236425450499</v>
      </c>
      <c r="E334" s="133">
        <v>4.8650778701359298</v>
      </c>
      <c r="F334" s="134"/>
      <c r="G334" s="134">
        <v>0.69336026652768701</v>
      </c>
      <c r="H334" s="134">
        <v>5.9513422876959803</v>
      </c>
      <c r="I334" s="134">
        <v>14.5721216015235</v>
      </c>
      <c r="J334" s="134">
        <v>1.81429269741411</v>
      </c>
      <c r="K334" s="134">
        <v>1.51383658191878</v>
      </c>
      <c r="L334" s="134">
        <v>0.39290415103235599</v>
      </c>
      <c r="M334" s="134">
        <v>3.8481494792286601</v>
      </c>
      <c r="N334" s="135">
        <v>4.28727764802953</v>
      </c>
      <c r="O334" s="135">
        <v>38.8859549477611</v>
      </c>
    </row>
    <row r="335" spans="2:15" x14ac:dyDescent="0.3">
      <c r="B335" s="551" t="s">
        <v>7</v>
      </c>
      <c r="C335" s="24" t="s">
        <v>25</v>
      </c>
      <c r="D335" s="129">
        <v>1.7715543268343099</v>
      </c>
      <c r="E335" s="130">
        <v>3.6678660006287802</v>
      </c>
      <c r="F335" s="130">
        <v>0.49902938784064999</v>
      </c>
      <c r="G335" s="130">
        <v>0.89825289811317</v>
      </c>
      <c r="H335" s="130">
        <v>4.1918468578614601</v>
      </c>
      <c r="I335" s="130">
        <v>50.476822580081702</v>
      </c>
      <c r="J335" s="130">
        <v>2.81951604129967</v>
      </c>
      <c r="K335" s="130">
        <v>1.87136020440244</v>
      </c>
      <c r="L335" s="130">
        <v>0.449126449056585</v>
      </c>
      <c r="M335" s="130">
        <v>3.3434968985323499</v>
      </c>
      <c r="N335" s="131">
        <v>5.3895173886790202</v>
      </c>
      <c r="O335" s="131">
        <v>75.378389033330194</v>
      </c>
    </row>
    <row r="336" spans="2:15" x14ac:dyDescent="0.3">
      <c r="B336" s="552"/>
      <c r="C336" s="25" t="s">
        <v>26</v>
      </c>
      <c r="D336" s="132">
        <v>0.95156090802119397</v>
      </c>
      <c r="E336" s="132">
        <v>5.3148158033378898</v>
      </c>
      <c r="F336" s="132">
        <v>0.32492323688528602</v>
      </c>
      <c r="G336" s="132">
        <v>1.23006653963715</v>
      </c>
      <c r="H336" s="132">
        <v>7.1018936062069598</v>
      </c>
      <c r="I336" s="132">
        <v>71.900870562186796</v>
      </c>
      <c r="J336" s="132">
        <v>2.9939355398715599</v>
      </c>
      <c r="K336" s="132">
        <v>2.9011003293329098</v>
      </c>
      <c r="L336" s="132">
        <v>0.301714434250623</v>
      </c>
      <c r="M336" s="132">
        <v>2.6225946977169499</v>
      </c>
      <c r="N336" s="131">
        <v>8.5176305669214205</v>
      </c>
      <c r="O336" s="131">
        <v>104.16110622436899</v>
      </c>
    </row>
    <row r="337" spans="2:15" ht="14.5" thickBot="1" x14ac:dyDescent="0.35">
      <c r="B337" s="557"/>
      <c r="C337" s="27" t="s">
        <v>0</v>
      </c>
      <c r="D337" s="133">
        <v>1.34672199449527</v>
      </c>
      <c r="E337" s="133">
        <v>4.5211381243769901</v>
      </c>
      <c r="F337" s="134">
        <v>0.40882631975749401</v>
      </c>
      <c r="G337" s="134">
        <v>1.0701630134828499</v>
      </c>
      <c r="H337" s="134">
        <v>5.6995198695603602</v>
      </c>
      <c r="I337" s="134">
        <v>61.576458337591902</v>
      </c>
      <c r="J337" s="134">
        <v>2.9098814523915699</v>
      </c>
      <c r="K337" s="134">
        <v>2.4048607044558499</v>
      </c>
      <c r="L337" s="134">
        <v>0.37275340919065603</v>
      </c>
      <c r="M337" s="134">
        <v>2.97000297000297</v>
      </c>
      <c r="N337" s="135">
        <v>7.0101689534887903</v>
      </c>
      <c r="O337" s="135">
        <v>90.290495148794804</v>
      </c>
    </row>
    <row r="338" spans="2:15" x14ac:dyDescent="0.3">
      <c r="B338" s="551" t="s">
        <v>8</v>
      </c>
      <c r="C338" s="24" t="s">
        <v>25</v>
      </c>
      <c r="D338" s="129">
        <v>1.07982484274043</v>
      </c>
      <c r="E338" s="130">
        <v>1.1765255749261401</v>
      </c>
      <c r="F338" s="130"/>
      <c r="G338" s="130">
        <v>0.32233577395236801</v>
      </c>
      <c r="H338" s="130">
        <v>4.5717957272244298</v>
      </c>
      <c r="I338" s="130">
        <v>42.1454024442722</v>
      </c>
      <c r="J338" s="130">
        <v>1.3645547763983601</v>
      </c>
      <c r="K338" s="130">
        <v>0.68227738819918005</v>
      </c>
      <c r="L338" s="130">
        <v>0.90791242996583799</v>
      </c>
      <c r="M338" s="130">
        <v>1.8641752260245299</v>
      </c>
      <c r="N338" s="131">
        <v>2.6324088206110101</v>
      </c>
      <c r="O338" s="131">
        <v>56.747213004314503</v>
      </c>
    </row>
    <row r="339" spans="2:15" x14ac:dyDescent="0.3">
      <c r="B339" s="552"/>
      <c r="C339" s="25" t="s">
        <v>26</v>
      </c>
      <c r="D339" s="132">
        <v>0.42196109213698402</v>
      </c>
      <c r="E339" s="132">
        <v>2.6537793987410301</v>
      </c>
      <c r="F339" s="132"/>
      <c r="G339" s="132">
        <v>0.31519985195774702</v>
      </c>
      <c r="H339" s="132">
        <v>8.4138024998398606</v>
      </c>
      <c r="I339" s="132">
        <v>54.204206799572603</v>
      </c>
      <c r="J339" s="132">
        <v>1.6980121057078601</v>
      </c>
      <c r="K339" s="132">
        <v>0.85408992143389495</v>
      </c>
      <c r="L339" s="132">
        <v>0.77783189273443998</v>
      </c>
      <c r="M339" s="132">
        <v>1.32180583079055</v>
      </c>
      <c r="N339" s="131">
        <v>3.7366434062732901</v>
      </c>
      <c r="O339" s="131">
        <v>74.397332799188206</v>
      </c>
    </row>
    <row r="340" spans="2:15" ht="14.5" thickBot="1" x14ac:dyDescent="0.35">
      <c r="B340" s="557"/>
      <c r="C340" s="27" t="s">
        <v>0</v>
      </c>
      <c r="D340" s="133">
        <v>0.74182057919992594</v>
      </c>
      <c r="E340" s="133">
        <v>1.9355248210814999</v>
      </c>
      <c r="F340" s="134"/>
      <c r="G340" s="134">
        <v>0.31866940374081298</v>
      </c>
      <c r="H340" s="134">
        <v>6.5457829981514601</v>
      </c>
      <c r="I340" s="134">
        <v>48.3411037297642</v>
      </c>
      <c r="J340" s="134">
        <v>1.535882044259</v>
      </c>
      <c r="K340" s="134">
        <v>0.77055306642245802</v>
      </c>
      <c r="L340" s="134">
        <v>0.84107826233230998</v>
      </c>
      <c r="M340" s="134">
        <v>1.5855108858251901</v>
      </c>
      <c r="N340" s="135">
        <v>3.19975425887292</v>
      </c>
      <c r="O340" s="135">
        <v>65.8156800496497</v>
      </c>
    </row>
    <row r="341" spans="2:15" x14ac:dyDescent="0.3">
      <c r="B341" s="551" t="s">
        <v>9</v>
      </c>
      <c r="C341" s="24" t="s">
        <v>25</v>
      </c>
      <c r="D341" s="129">
        <v>0.92730575882997501</v>
      </c>
      <c r="E341" s="130">
        <v>1.1036244594525799</v>
      </c>
      <c r="F341" s="130">
        <v>0.31345546777351302</v>
      </c>
      <c r="G341" s="130">
        <v>0.28080385654710499</v>
      </c>
      <c r="H341" s="130">
        <v>3.1541456444709701</v>
      </c>
      <c r="I341" s="130">
        <v>15.9535772452227</v>
      </c>
      <c r="J341" s="130">
        <v>0.68568383575455905</v>
      </c>
      <c r="K341" s="130">
        <v>2.6513108315843001</v>
      </c>
      <c r="L341" s="130">
        <v>0.25468256756597901</v>
      </c>
      <c r="M341" s="130">
        <v>1.7501263617354501</v>
      </c>
      <c r="N341" s="131">
        <v>0.79669931392434501</v>
      </c>
      <c r="O341" s="131">
        <v>27.8714153428615</v>
      </c>
    </row>
    <row r="342" spans="2:15" x14ac:dyDescent="0.3">
      <c r="B342" s="552"/>
      <c r="C342" s="25" t="s">
        <v>26</v>
      </c>
      <c r="D342" s="132">
        <v>0.34626606720113101</v>
      </c>
      <c r="E342" s="132">
        <v>1.8528272016902601</v>
      </c>
      <c r="F342" s="132">
        <v>0.425239029896126</v>
      </c>
      <c r="G342" s="132">
        <v>0.425239029896126</v>
      </c>
      <c r="H342" s="132">
        <v>5.1636167915958202</v>
      </c>
      <c r="I342" s="132">
        <v>19.785764576738298</v>
      </c>
      <c r="J342" s="132">
        <v>1.2392680299829999</v>
      </c>
      <c r="K342" s="132">
        <v>2.83695181373559</v>
      </c>
      <c r="L342" s="132">
        <v>0.18224529852691099</v>
      </c>
      <c r="M342" s="132">
        <v>1.4275881717941401</v>
      </c>
      <c r="N342" s="131">
        <v>1.4397378583625999</v>
      </c>
      <c r="O342" s="131">
        <v>35.124743869420001</v>
      </c>
    </row>
    <row r="343" spans="2:15" ht="14.5" thickBot="1" x14ac:dyDescent="0.35">
      <c r="B343" s="557"/>
      <c r="C343" s="27" t="s">
        <v>0</v>
      </c>
      <c r="D343" s="133">
        <v>0.62628817879488896</v>
      </c>
      <c r="E343" s="133">
        <v>1.49176179270742</v>
      </c>
      <c r="F343" s="134">
        <v>0.371366859787924</v>
      </c>
      <c r="G343" s="134">
        <v>0.35563097589860598</v>
      </c>
      <c r="H343" s="134">
        <v>4.1951866448923996</v>
      </c>
      <c r="I343" s="134">
        <v>17.938907633823501</v>
      </c>
      <c r="J343" s="134">
        <v>0.97247762435990404</v>
      </c>
      <c r="K343" s="134">
        <v>2.7474853270750699</v>
      </c>
      <c r="L343" s="134">
        <v>0.2171551976726</v>
      </c>
      <c r="M343" s="134">
        <v>1.58302991926547</v>
      </c>
      <c r="N343" s="135">
        <v>1.12983646325309</v>
      </c>
      <c r="O343" s="135">
        <v>31.629126617530801</v>
      </c>
    </row>
    <row r="344" spans="2:15" x14ac:dyDescent="0.3">
      <c r="B344" s="551" t="s">
        <v>10</v>
      </c>
      <c r="C344" s="24" t="s">
        <v>25</v>
      </c>
      <c r="D344" s="129">
        <v>0.92892067861878003</v>
      </c>
      <c r="E344" s="130">
        <v>2.3645253637568899</v>
      </c>
      <c r="F344" s="130">
        <v>1.21041179335174</v>
      </c>
      <c r="G344" s="130">
        <v>0.98521890156537195</v>
      </c>
      <c r="H344" s="130">
        <v>2.3926744752301898</v>
      </c>
      <c r="I344" s="130">
        <v>21.984456060644401</v>
      </c>
      <c r="J344" s="130">
        <v>1.60449935397789</v>
      </c>
      <c r="K344" s="130">
        <v>0.98521890156537195</v>
      </c>
      <c r="L344" s="130">
        <v>0.73187689830570501</v>
      </c>
      <c r="M344" s="130">
        <v>1.74524491134437</v>
      </c>
      <c r="N344" s="131">
        <v>7.2343216486371604</v>
      </c>
      <c r="O344" s="131">
        <v>42.1673689869979</v>
      </c>
    </row>
    <row r="345" spans="2:15" x14ac:dyDescent="0.3">
      <c r="B345" s="552"/>
      <c r="C345" s="25" t="s">
        <v>26</v>
      </c>
      <c r="D345" s="132">
        <v>0.57213445159612497</v>
      </c>
      <c r="E345" s="132">
        <v>4.4210389441518796</v>
      </c>
      <c r="F345" s="132">
        <v>1.37832390611794</v>
      </c>
      <c r="G345" s="132">
        <v>1.61237890904363</v>
      </c>
      <c r="H345" s="132">
        <v>5.0971978414927497</v>
      </c>
      <c r="I345" s="132">
        <v>32.325596515181097</v>
      </c>
      <c r="J345" s="132">
        <v>2.1585072492035602</v>
      </c>
      <c r="K345" s="132">
        <v>1.6903972433521901</v>
      </c>
      <c r="L345" s="132">
        <v>0.26006111436187501</v>
      </c>
      <c r="M345" s="132">
        <v>1.43033612899031</v>
      </c>
      <c r="N345" s="131">
        <v>12.430921266497601</v>
      </c>
      <c r="O345" s="131">
        <v>63.376893569988901</v>
      </c>
    </row>
    <row r="346" spans="2:15" ht="14.5" thickBot="1" x14ac:dyDescent="0.35">
      <c r="B346" s="557"/>
      <c r="C346" s="27" t="s">
        <v>0</v>
      </c>
      <c r="D346" s="133">
        <v>0.74346829310494</v>
      </c>
      <c r="E346" s="133">
        <v>3.4334717536118999</v>
      </c>
      <c r="F346" s="134">
        <v>1.2976901116013499</v>
      </c>
      <c r="G346" s="134">
        <v>1.3112077169305301</v>
      </c>
      <c r="H346" s="134">
        <v>3.7984470974997802</v>
      </c>
      <c r="I346" s="134">
        <v>27.359633186261799</v>
      </c>
      <c r="J346" s="134">
        <v>1.8924647460852999</v>
      </c>
      <c r="K346" s="134">
        <v>1.35176053291807</v>
      </c>
      <c r="L346" s="134">
        <v>0.48663379185050598</v>
      </c>
      <c r="M346" s="134">
        <v>1.5815598235141399</v>
      </c>
      <c r="N346" s="135">
        <v>9.9354399169478302</v>
      </c>
      <c r="O346" s="135">
        <v>53.191776970326202</v>
      </c>
    </row>
    <row r="347" spans="2:15" x14ac:dyDescent="0.3">
      <c r="B347" s="551" t="s">
        <v>11</v>
      </c>
      <c r="C347" s="24" t="s">
        <v>25</v>
      </c>
      <c r="D347" s="129">
        <v>0.44945840262483699</v>
      </c>
      <c r="E347" s="130">
        <v>0.52971883166498701</v>
      </c>
      <c r="F347" s="130">
        <v>0.208677115504389</v>
      </c>
      <c r="G347" s="130">
        <v>0.48156257424089699</v>
      </c>
      <c r="H347" s="130">
        <v>0.99522932009785303</v>
      </c>
      <c r="I347" s="130">
        <v>16.052085808029901</v>
      </c>
      <c r="J347" s="130">
        <v>0.35314588777665801</v>
      </c>
      <c r="K347" s="130">
        <v>0.417354231008777</v>
      </c>
      <c r="L347" s="130">
        <v>0.112364600656209</v>
      </c>
      <c r="M347" s="130">
        <v>0.64208343232119602</v>
      </c>
      <c r="N347" s="131">
        <v>1.68546900984314</v>
      </c>
      <c r="O347" s="131">
        <v>21.9271492137688</v>
      </c>
    </row>
    <row r="348" spans="2:15" x14ac:dyDescent="0.3">
      <c r="B348" s="552"/>
      <c r="C348" s="25" t="s">
        <v>26</v>
      </c>
      <c r="D348" s="132">
        <v>4.5481972462181698E-2</v>
      </c>
      <c r="E348" s="132">
        <v>0.95512142170581704</v>
      </c>
      <c r="F348" s="132">
        <v>0.18192788984872699</v>
      </c>
      <c r="G348" s="132">
        <v>0.59126564200836296</v>
      </c>
      <c r="H348" s="132">
        <v>1.9102428434116301</v>
      </c>
      <c r="I348" s="132">
        <v>21.422009029687601</v>
      </c>
      <c r="J348" s="132">
        <v>0.65190827195793799</v>
      </c>
      <c r="K348" s="132">
        <v>0.39417709467224199</v>
      </c>
      <c r="L348" s="132">
        <v>0.121285259899151</v>
      </c>
      <c r="M348" s="132">
        <v>0.45481972462181702</v>
      </c>
      <c r="N348" s="131">
        <v>2.4105445404956298</v>
      </c>
      <c r="O348" s="131">
        <v>29.138783690771099</v>
      </c>
    </row>
    <row r="349" spans="2:15" ht="14.5" thickBot="1" x14ac:dyDescent="0.35">
      <c r="B349" s="557"/>
      <c r="C349" s="27" t="s">
        <v>0</v>
      </c>
      <c r="D349" s="133">
        <v>0.24170145348338601</v>
      </c>
      <c r="E349" s="133">
        <v>0.74849482369048503</v>
      </c>
      <c r="F349" s="134">
        <v>0.19492052700272999</v>
      </c>
      <c r="G349" s="134">
        <v>0.53798065452753596</v>
      </c>
      <c r="H349" s="134">
        <v>1.4658023630605299</v>
      </c>
      <c r="I349" s="134">
        <v>18.813729266303501</v>
      </c>
      <c r="J349" s="134">
        <v>0.50679337020709903</v>
      </c>
      <c r="K349" s="134">
        <v>0.40543469616567901</v>
      </c>
      <c r="L349" s="134">
        <v>0.116952316201638</v>
      </c>
      <c r="M349" s="134">
        <v>0.545777475607645</v>
      </c>
      <c r="N349" s="135">
        <v>2.05836076514883</v>
      </c>
      <c r="O349" s="135">
        <v>25.635947711399101</v>
      </c>
    </row>
    <row r="350" spans="2:15" x14ac:dyDescent="0.3">
      <c r="B350" s="551" t="s">
        <v>12</v>
      </c>
      <c r="C350" s="24" t="s">
        <v>25</v>
      </c>
      <c r="D350" s="129">
        <v>0.75227051817838297</v>
      </c>
      <c r="E350" s="130">
        <v>1.83179996234397</v>
      </c>
      <c r="F350" s="130">
        <v>0.64176750420867701</v>
      </c>
      <c r="G350" s="130">
        <v>0.48876333101985397</v>
      </c>
      <c r="H350" s="130">
        <v>4.8281316872917701</v>
      </c>
      <c r="I350" s="130">
        <v>20.5153095550681</v>
      </c>
      <c r="J350" s="130">
        <v>3.15783612998045</v>
      </c>
      <c r="K350" s="130">
        <v>1.4492895293719099</v>
      </c>
      <c r="L350" s="130">
        <v>0.49301344694176502</v>
      </c>
      <c r="M350" s="130">
        <v>3.96960827106559</v>
      </c>
      <c r="N350" s="131">
        <v>3.9313572277683901</v>
      </c>
      <c r="O350" s="131">
        <v>42.059147163238897</v>
      </c>
    </row>
    <row r="351" spans="2:15" x14ac:dyDescent="0.3">
      <c r="B351" s="552"/>
      <c r="C351" s="25" t="s">
        <v>26</v>
      </c>
      <c r="D351" s="132">
        <v>0.25499115769123898</v>
      </c>
      <c r="E351" s="132">
        <v>2.9775121336561701</v>
      </c>
      <c r="F351" s="132">
        <v>0.64728524644699303</v>
      </c>
      <c r="G351" s="132">
        <v>0.43544643851888598</v>
      </c>
      <c r="H351" s="132">
        <v>8.2930970362966203</v>
      </c>
      <c r="I351" s="132">
        <v>26.220936892434501</v>
      </c>
      <c r="J351" s="132">
        <v>2.7617503848405001</v>
      </c>
      <c r="K351" s="132">
        <v>1.82024457182669</v>
      </c>
      <c r="L351" s="132">
        <v>0.407985852305983</v>
      </c>
      <c r="M351" s="132">
        <v>2.4439921729483398</v>
      </c>
      <c r="N351" s="131">
        <v>5.57842194210681</v>
      </c>
      <c r="O351" s="131">
        <v>51.8416638290728</v>
      </c>
    </row>
    <row r="352" spans="2:15" ht="14.5" thickBot="1" x14ac:dyDescent="0.35">
      <c r="B352" s="557"/>
      <c r="C352" s="27" t="s">
        <v>0</v>
      </c>
      <c r="D352" s="133">
        <v>0.49367756123284801</v>
      </c>
      <c r="E352" s="133">
        <v>2.4275880077152401</v>
      </c>
      <c r="F352" s="134">
        <v>0.64463681549413099</v>
      </c>
      <c r="G352" s="134">
        <v>0.46103772247365099</v>
      </c>
      <c r="H352" s="134">
        <v>6.6299672479618001</v>
      </c>
      <c r="I352" s="134">
        <v>23.482323997319501</v>
      </c>
      <c r="J352" s="134">
        <v>2.9518654177848398</v>
      </c>
      <c r="K352" s="134">
        <v>1.64219188757208</v>
      </c>
      <c r="L352" s="134">
        <v>0.44879778293895201</v>
      </c>
      <c r="M352" s="134">
        <v>3.1762643092543099</v>
      </c>
      <c r="N352" s="135">
        <v>4.7878563479896403</v>
      </c>
      <c r="O352" s="135">
        <v>47.146207097736898</v>
      </c>
    </row>
    <row r="353" spans="2:15" x14ac:dyDescent="0.3">
      <c r="B353" s="551" t="s">
        <v>13</v>
      </c>
      <c r="C353" s="24" t="s">
        <v>25</v>
      </c>
      <c r="D353" s="129"/>
      <c r="E353" s="130"/>
      <c r="F353" s="130"/>
      <c r="G353" s="130"/>
      <c r="H353" s="130"/>
      <c r="I353" s="130"/>
      <c r="J353" s="130"/>
      <c r="K353" s="130"/>
      <c r="L353" s="130"/>
      <c r="M353" s="130"/>
      <c r="N353" s="131"/>
      <c r="O353" s="131"/>
    </row>
    <row r="354" spans="2:15" x14ac:dyDescent="0.3">
      <c r="B354" s="552"/>
      <c r="C354" s="25" t="s">
        <v>26</v>
      </c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1"/>
      <c r="O354" s="131"/>
    </row>
    <row r="355" spans="2:15" ht="14.5" thickBot="1" x14ac:dyDescent="0.35">
      <c r="B355" s="557"/>
      <c r="C355" s="27" t="s">
        <v>0</v>
      </c>
      <c r="D355" s="133"/>
      <c r="E355" s="133"/>
      <c r="F355" s="134"/>
      <c r="G355" s="134"/>
      <c r="H355" s="134"/>
      <c r="I355" s="134"/>
      <c r="J355" s="134"/>
      <c r="K355" s="134"/>
      <c r="L355" s="134"/>
      <c r="M355" s="134"/>
      <c r="N355" s="135"/>
      <c r="O355" s="135"/>
    </row>
    <row r="356" spans="2:15" x14ac:dyDescent="0.3">
      <c r="B356" s="551" t="s">
        <v>14</v>
      </c>
      <c r="C356" s="24" t="s">
        <v>25</v>
      </c>
      <c r="D356" s="129">
        <v>8.0109589919009197E-2</v>
      </c>
      <c r="E356" s="130">
        <v>8.0109589919009197E-2</v>
      </c>
      <c r="F356" s="130">
        <v>0.48065753951405499</v>
      </c>
      <c r="G356" s="130"/>
      <c r="H356" s="130">
        <v>8.0109589919009197E-2</v>
      </c>
      <c r="I356" s="130"/>
      <c r="J356" s="130"/>
      <c r="K356" s="130">
        <v>0.16021917983801801</v>
      </c>
      <c r="L356" s="130"/>
      <c r="M356" s="130">
        <v>0.24032876975702799</v>
      </c>
      <c r="N356" s="131">
        <v>0.16021917983801801</v>
      </c>
      <c r="O356" s="131">
        <v>1.28175343870415</v>
      </c>
    </row>
    <row r="357" spans="2:15" x14ac:dyDescent="0.3">
      <c r="B357" s="552"/>
      <c r="C357" s="25" t="s">
        <v>26</v>
      </c>
      <c r="D357" s="132"/>
      <c r="E357" s="132"/>
      <c r="F357" s="132">
        <v>0.85438884012831395</v>
      </c>
      <c r="G357" s="132">
        <v>0.23301513821681299</v>
      </c>
      <c r="H357" s="132">
        <v>0.155343425477875</v>
      </c>
      <c r="I357" s="132"/>
      <c r="J357" s="132"/>
      <c r="K357" s="132">
        <v>7.7671712738937596E-2</v>
      </c>
      <c r="L357" s="132"/>
      <c r="M357" s="132"/>
      <c r="N357" s="131">
        <v>0.38835856369468802</v>
      </c>
      <c r="O357" s="131">
        <v>1.7087776802566299</v>
      </c>
    </row>
    <row r="358" spans="2:15" ht="14.5" thickBot="1" x14ac:dyDescent="0.35">
      <c r="B358" s="557"/>
      <c r="C358" s="27" t="s">
        <v>0</v>
      </c>
      <c r="D358" s="133">
        <v>3.9435908761081502E-2</v>
      </c>
      <c r="E358" s="133">
        <v>3.9435908761081502E-2</v>
      </c>
      <c r="F358" s="134">
        <v>0.67041044893838497</v>
      </c>
      <c r="G358" s="134">
        <v>0.118307726283244</v>
      </c>
      <c r="H358" s="134">
        <v>0.118307726283244</v>
      </c>
      <c r="I358" s="134"/>
      <c r="J358" s="134"/>
      <c r="K358" s="134">
        <v>0.118307726283244</v>
      </c>
      <c r="L358" s="134"/>
      <c r="M358" s="134">
        <v>0.118307726283244</v>
      </c>
      <c r="N358" s="135">
        <v>0.27605136132757002</v>
      </c>
      <c r="O358" s="135">
        <v>1.4985645329210999</v>
      </c>
    </row>
    <row r="359" spans="2:15" x14ac:dyDescent="0.3">
      <c r="B359" s="551" t="s">
        <v>15</v>
      </c>
      <c r="C359" s="24" t="s">
        <v>25</v>
      </c>
      <c r="D359" s="129">
        <v>1.07054807361402</v>
      </c>
      <c r="E359" s="130">
        <v>4.6477452952023297</v>
      </c>
      <c r="F359" s="130">
        <v>5.2065191677715896</v>
      </c>
      <c r="G359" s="130">
        <v>2.6789812768975199</v>
      </c>
      <c r="H359" s="130">
        <v>9.5774886195517599</v>
      </c>
      <c r="I359" s="130">
        <v>7.8646117017693298</v>
      </c>
      <c r="J359" s="130">
        <v>1.7912097036566299</v>
      </c>
      <c r="K359" s="130">
        <v>2.02098587555427</v>
      </c>
      <c r="L359" s="130">
        <v>2.1202074043282502</v>
      </c>
      <c r="M359" s="130">
        <v>7.0603951001275798</v>
      </c>
      <c r="N359" s="131">
        <v>8.5017183602127897</v>
      </c>
      <c r="O359" s="131">
        <v>52.5404105786861</v>
      </c>
    </row>
    <row r="360" spans="2:15" x14ac:dyDescent="0.3">
      <c r="B360" s="552"/>
      <c r="C360" s="25" t="s">
        <v>26</v>
      </c>
      <c r="D360" s="132">
        <v>0.197267159407153</v>
      </c>
      <c r="E360" s="132">
        <v>5.7749960916444101</v>
      </c>
      <c r="F360" s="132">
        <v>2.8406470954629999</v>
      </c>
      <c r="G360" s="132">
        <v>3.6839642019285801</v>
      </c>
      <c r="H360" s="132">
        <v>13.4190985186716</v>
      </c>
      <c r="I360" s="132">
        <v>8.89181721027742</v>
      </c>
      <c r="J360" s="132">
        <v>1.33648500498346</v>
      </c>
      <c r="K360" s="132">
        <v>2.52008796142638</v>
      </c>
      <c r="L360" s="132">
        <v>1.40059683179079</v>
      </c>
      <c r="M360" s="132">
        <v>4.2511072852241503</v>
      </c>
      <c r="N360" s="131">
        <v>10.3022774000386</v>
      </c>
      <c r="O360" s="131">
        <v>54.6183447608555</v>
      </c>
    </row>
    <row r="361" spans="2:15" ht="14.5" thickBot="1" x14ac:dyDescent="0.35">
      <c r="B361" s="557"/>
      <c r="C361" s="27" t="s">
        <v>0</v>
      </c>
      <c r="D361" s="133">
        <v>0.621415132194022</v>
      </c>
      <c r="E361" s="133">
        <v>5.2274962753137899</v>
      </c>
      <c r="F361" s="134">
        <v>3.98973878751509</v>
      </c>
      <c r="G361" s="134">
        <v>3.1958492512835401</v>
      </c>
      <c r="H361" s="134">
        <v>11.5532486822195</v>
      </c>
      <c r="I361" s="134">
        <v>8.3929088670612906</v>
      </c>
      <c r="J361" s="134">
        <v>1.5573424129270601</v>
      </c>
      <c r="K361" s="134">
        <v>2.2776766886131901</v>
      </c>
      <c r="L361" s="134">
        <v>1.7501079233219401</v>
      </c>
      <c r="M361" s="134">
        <v>5.6155636843982197</v>
      </c>
      <c r="N361" s="135">
        <v>9.4277552912864397</v>
      </c>
      <c r="O361" s="135">
        <v>53.609102996133998</v>
      </c>
    </row>
    <row r="362" spans="2:15" x14ac:dyDescent="0.3">
      <c r="B362" s="551" t="s">
        <v>16</v>
      </c>
      <c r="C362" s="24" t="s">
        <v>25</v>
      </c>
      <c r="D362" s="129">
        <v>0.97138077136295298</v>
      </c>
      <c r="E362" s="130">
        <v>8.6434327235289494</v>
      </c>
      <c r="F362" s="130">
        <v>11.9844876059238</v>
      </c>
      <c r="G362" s="130">
        <v>2.7965866793379299</v>
      </c>
      <c r="H362" s="130">
        <v>6.9605310049893099</v>
      </c>
      <c r="I362" s="130">
        <v>7.4245664053219302</v>
      </c>
      <c r="J362" s="130">
        <v>1.89326443335709</v>
      </c>
      <c r="K362" s="130">
        <v>1.29929912093134</v>
      </c>
      <c r="L362" s="130">
        <v>2.0108200681080199</v>
      </c>
      <c r="M362" s="130">
        <v>3.4153005464480901</v>
      </c>
      <c r="N362" s="131">
        <v>5.1105765423299303</v>
      </c>
      <c r="O362" s="131">
        <v>52.510245901639301</v>
      </c>
    </row>
    <row r="363" spans="2:15" x14ac:dyDescent="0.3">
      <c r="B363" s="552"/>
      <c r="C363" s="25" t="s">
        <v>26</v>
      </c>
      <c r="D363" s="132">
        <v>0.15046958083804601</v>
      </c>
      <c r="E363" s="132">
        <v>12.2459089635887</v>
      </c>
      <c r="F363" s="132">
        <v>11.5687958498175</v>
      </c>
      <c r="G363" s="132">
        <v>3.5070986918406102</v>
      </c>
      <c r="H363" s="132">
        <v>11.3430914785604</v>
      </c>
      <c r="I363" s="132">
        <v>8.1195700736837999</v>
      </c>
      <c r="J363" s="132">
        <v>1.9329553846118199</v>
      </c>
      <c r="K363" s="132">
        <v>1.74776205434961</v>
      </c>
      <c r="L363" s="132">
        <v>1.29635331183547</v>
      </c>
      <c r="M363" s="132">
        <v>1.88665705204627</v>
      </c>
      <c r="N363" s="131">
        <v>6.8926642606966499</v>
      </c>
      <c r="O363" s="131">
        <v>60.691326701868803</v>
      </c>
    </row>
    <row r="364" spans="2:15" ht="14.5" thickBot="1" x14ac:dyDescent="0.35">
      <c r="B364" s="557"/>
      <c r="C364" s="27" t="s">
        <v>0</v>
      </c>
      <c r="D364" s="133">
        <v>0.54721934824082397</v>
      </c>
      <c r="E364" s="133">
        <v>10.5048173244263</v>
      </c>
      <c r="F364" s="134">
        <v>11.7697013916715</v>
      </c>
      <c r="G364" s="134">
        <v>3.1637053029442201</v>
      </c>
      <c r="H364" s="134">
        <v>9.2249819088685392</v>
      </c>
      <c r="I364" s="134">
        <v>7.7836719315347898</v>
      </c>
      <c r="J364" s="134">
        <v>1.91377258401163</v>
      </c>
      <c r="K364" s="134">
        <v>1.5310180672092999</v>
      </c>
      <c r="L364" s="134">
        <v>1.64165804472247</v>
      </c>
      <c r="M364" s="134">
        <v>2.6254567636909498</v>
      </c>
      <c r="N364" s="135">
        <v>6.0313739092991403</v>
      </c>
      <c r="O364" s="135">
        <v>56.737376576619702</v>
      </c>
    </row>
    <row r="365" spans="2:15" x14ac:dyDescent="0.3">
      <c r="B365" s="551" t="s">
        <v>17</v>
      </c>
      <c r="C365" s="24" t="s">
        <v>25</v>
      </c>
      <c r="D365" s="129">
        <v>0.394887522870569</v>
      </c>
      <c r="E365" s="130">
        <v>0.96528061146139099</v>
      </c>
      <c r="F365" s="130">
        <v>1.53567370005221</v>
      </c>
      <c r="G365" s="130">
        <v>1.1407861771816401</v>
      </c>
      <c r="H365" s="130">
        <v>2.7203362686639201</v>
      </c>
      <c r="I365" s="130">
        <v>33.740945009718601</v>
      </c>
      <c r="J365" s="130">
        <v>0.394887522870569</v>
      </c>
      <c r="K365" s="130">
        <v>0.482640305730695</v>
      </c>
      <c r="L365" s="130">
        <v>0.87752782860126499</v>
      </c>
      <c r="M365" s="130">
        <v>1.6673028743424001</v>
      </c>
      <c r="N365" s="131">
        <v>1.53567370005221</v>
      </c>
      <c r="O365" s="131">
        <v>45.455941521545498</v>
      </c>
    </row>
    <row r="366" spans="2:15" x14ac:dyDescent="0.3">
      <c r="B366" s="552"/>
      <c r="C366" s="25" t="s">
        <v>26</v>
      </c>
      <c r="D366" s="132"/>
      <c r="E366" s="132">
        <v>1.14134501168822</v>
      </c>
      <c r="F366" s="132">
        <v>1.64860946132743</v>
      </c>
      <c r="G366" s="132">
        <v>1.3104331615679501</v>
      </c>
      <c r="H366" s="132">
        <v>3.8890274472339299</v>
      </c>
      <c r="I366" s="132">
        <v>34.916702950165501</v>
      </c>
      <c r="J366" s="132">
        <v>0.338176299759472</v>
      </c>
      <c r="K366" s="132">
        <v>0.92998482433854801</v>
      </c>
      <c r="L366" s="132">
        <v>0.169088149879736</v>
      </c>
      <c r="M366" s="132">
        <v>0.88771278686861399</v>
      </c>
      <c r="N366" s="131">
        <v>2.3672340983162998</v>
      </c>
      <c r="O366" s="131">
        <v>47.598314191145697</v>
      </c>
    </row>
    <row r="367" spans="2:15" ht="14.5" thickBot="1" x14ac:dyDescent="0.35">
      <c r="B367" s="557"/>
      <c r="C367" s="27" t="s">
        <v>0</v>
      </c>
      <c r="D367" s="133">
        <v>0.19376673929331101</v>
      </c>
      <c r="E367" s="133">
        <v>1.0549522472635799</v>
      </c>
      <c r="F367" s="134">
        <v>1.593193189745</v>
      </c>
      <c r="G367" s="134">
        <v>1.22718934885764</v>
      </c>
      <c r="H367" s="134">
        <v>3.3155642056855501</v>
      </c>
      <c r="I367" s="134">
        <v>34.3397721303146</v>
      </c>
      <c r="J367" s="134">
        <v>0.36600384088736598</v>
      </c>
      <c r="K367" s="134">
        <v>0.71047804407547399</v>
      </c>
      <c r="L367" s="134">
        <v>0.51671130478216298</v>
      </c>
      <c r="M367" s="134">
        <v>1.2702486242561499</v>
      </c>
      <c r="N367" s="135">
        <v>1.9591970306323701</v>
      </c>
      <c r="O367" s="135">
        <v>46.547076705793202</v>
      </c>
    </row>
    <row r="368" spans="2:15" x14ac:dyDescent="0.3">
      <c r="B368" s="551" t="s">
        <v>18</v>
      </c>
      <c r="C368" s="24" t="s">
        <v>25</v>
      </c>
      <c r="D368" s="129">
        <v>0.510924616348016</v>
      </c>
      <c r="E368" s="130">
        <v>5.9214852971616203</v>
      </c>
      <c r="F368" s="130">
        <v>0.98254733913079895</v>
      </c>
      <c r="G368" s="130">
        <v>5.8035796164659201</v>
      </c>
      <c r="H368" s="130">
        <v>9.8778759160616403</v>
      </c>
      <c r="I368" s="130">
        <v>51.1841660531204</v>
      </c>
      <c r="J368" s="130">
        <v>1.13975491339173</v>
      </c>
      <c r="K368" s="130">
        <v>1.97819530945001</v>
      </c>
      <c r="L368" s="130">
        <v>2.0961009901457102</v>
      </c>
      <c r="M368" s="130">
        <v>5.1747493194222098</v>
      </c>
      <c r="N368" s="131">
        <v>9.2097437254526895</v>
      </c>
      <c r="O368" s="131">
        <v>93.879123096150806</v>
      </c>
    </row>
    <row r="369" spans="2:15" x14ac:dyDescent="0.3">
      <c r="B369" s="552"/>
      <c r="C369" s="25" t="s">
        <v>26</v>
      </c>
      <c r="D369" s="132">
        <v>4.9597639152376402E-2</v>
      </c>
      <c r="E369" s="132">
        <v>9.0887673746729707</v>
      </c>
      <c r="F369" s="132">
        <v>0.35958288385472897</v>
      </c>
      <c r="G369" s="132">
        <v>8.2704063286587601</v>
      </c>
      <c r="H369" s="132">
        <v>15.238874629567601</v>
      </c>
      <c r="I369" s="132">
        <v>63.832161589108402</v>
      </c>
      <c r="J369" s="132">
        <v>0.88035809495467998</v>
      </c>
      <c r="K369" s="132">
        <v>2.2690919912212202</v>
      </c>
      <c r="L369" s="132">
        <v>1.3391362571141601</v>
      </c>
      <c r="M369" s="132">
        <v>3.11225185681162</v>
      </c>
      <c r="N369" s="131">
        <v>13.676548996267799</v>
      </c>
      <c r="O369" s="131">
        <v>118.116777641384</v>
      </c>
    </row>
    <row r="370" spans="2:15" ht="14.5" thickBot="1" x14ac:dyDescent="0.35">
      <c r="B370" s="557"/>
      <c r="C370" s="27" t="s">
        <v>0</v>
      </c>
      <c r="D370" s="133">
        <v>0.27391815070849301</v>
      </c>
      <c r="E370" s="133">
        <v>7.5486746183619404</v>
      </c>
      <c r="F370" s="134">
        <v>0.66249971334146995</v>
      </c>
      <c r="G370" s="134">
        <v>7.07091040200992</v>
      </c>
      <c r="H370" s="134">
        <v>12.6320858803475</v>
      </c>
      <c r="I370" s="134">
        <v>57.682066387567403</v>
      </c>
      <c r="J370" s="134">
        <v>1.0064899491149299</v>
      </c>
      <c r="K370" s="134">
        <v>2.1276433101543399</v>
      </c>
      <c r="L370" s="134">
        <v>1.70721079976456</v>
      </c>
      <c r="M370" s="134">
        <v>4.1151424501787499</v>
      </c>
      <c r="N370" s="135">
        <v>11.5045623297567</v>
      </c>
      <c r="O370" s="135">
        <v>106.331203991306</v>
      </c>
    </row>
    <row r="371" spans="2:15" x14ac:dyDescent="0.3">
      <c r="B371" s="551" t="s">
        <v>19</v>
      </c>
      <c r="C371" s="24" t="s">
        <v>25</v>
      </c>
      <c r="D371" s="129">
        <v>0.89498381909936098</v>
      </c>
      <c r="E371" s="130">
        <v>4.1393001633345499</v>
      </c>
      <c r="F371" s="130">
        <v>5.0851353357918301</v>
      </c>
      <c r="G371" s="130">
        <v>3.6460420357627399</v>
      </c>
      <c r="H371" s="130">
        <v>6.8039110792894597</v>
      </c>
      <c r="I371" s="130">
        <v>18.596339922990701</v>
      </c>
      <c r="J371" s="130">
        <v>2.36967306647899</v>
      </c>
      <c r="K371" s="130">
        <v>1.74928655551239</v>
      </c>
      <c r="L371" s="130">
        <v>3.0205703894603499</v>
      </c>
      <c r="M371" s="130">
        <v>9.0006895443515305</v>
      </c>
      <c r="N371" s="131">
        <v>5.1817529071718704</v>
      </c>
      <c r="O371" s="131">
        <v>60.487684819243803</v>
      </c>
    </row>
    <row r="372" spans="2:15" x14ac:dyDescent="0.3">
      <c r="B372" s="552"/>
      <c r="C372" s="25" t="s">
        <v>26</v>
      </c>
      <c r="D372" s="132">
        <v>0.190054269996798</v>
      </c>
      <c r="E372" s="132">
        <v>4.6753350419212198</v>
      </c>
      <c r="F372" s="132">
        <v>1.51568280322446</v>
      </c>
      <c r="G372" s="132">
        <v>5.7253848836535299</v>
      </c>
      <c r="H372" s="132">
        <v>10.6097796225712</v>
      </c>
      <c r="I372" s="132">
        <v>17.261679072459099</v>
      </c>
      <c r="J372" s="132">
        <v>1.75325064072046</v>
      </c>
      <c r="K372" s="132">
        <v>2.01457526196605</v>
      </c>
      <c r="L372" s="132">
        <v>2.3519215912103699</v>
      </c>
      <c r="M372" s="132">
        <v>5.15047071691321</v>
      </c>
      <c r="N372" s="131">
        <v>6.4570938231412001</v>
      </c>
      <c r="O372" s="131">
        <v>57.705227727777697</v>
      </c>
    </row>
    <row r="373" spans="2:15" ht="14.5" thickBot="1" x14ac:dyDescent="0.35">
      <c r="B373" s="557"/>
      <c r="C373" s="27" t="s">
        <v>0</v>
      </c>
      <c r="D373" s="133">
        <v>0.53055896843616301</v>
      </c>
      <c r="E373" s="133">
        <v>4.4164121539269496</v>
      </c>
      <c r="F373" s="134">
        <v>3.2398485155893502</v>
      </c>
      <c r="G373" s="134">
        <v>4.72099230247363</v>
      </c>
      <c r="H373" s="134">
        <v>8.7714170198404506</v>
      </c>
      <c r="I373" s="134">
        <v>17.906365184720499</v>
      </c>
      <c r="J373" s="134">
        <v>2.0510034196490601</v>
      </c>
      <c r="K373" s="134">
        <v>1.88643188777302</v>
      </c>
      <c r="L373" s="134">
        <v>2.6749014658656498</v>
      </c>
      <c r="M373" s="134">
        <v>7.0102559996148504</v>
      </c>
      <c r="N373" s="135">
        <v>5.84106123583887</v>
      </c>
      <c r="O373" s="135">
        <v>59.049248153728499</v>
      </c>
    </row>
    <row r="374" spans="2:15" x14ac:dyDescent="0.3">
      <c r="B374" s="551" t="s">
        <v>20</v>
      </c>
      <c r="C374" s="24" t="s">
        <v>25</v>
      </c>
      <c r="D374" s="129">
        <v>0.22204064231917001</v>
      </c>
      <c r="E374" s="130">
        <v>1.15461134005968</v>
      </c>
      <c r="F374" s="130"/>
      <c r="G374" s="130">
        <v>0.103618966415613</v>
      </c>
      <c r="H374" s="130">
        <v>0.66612192695751005</v>
      </c>
      <c r="I374" s="130">
        <v>19.421154848183399</v>
      </c>
      <c r="J374" s="130">
        <v>0.39967315617450599</v>
      </c>
      <c r="K374" s="130">
        <v>0.74013547439723404</v>
      </c>
      <c r="L374" s="130">
        <v>0.25164606129505901</v>
      </c>
      <c r="M374" s="130">
        <v>0.74013547439723404</v>
      </c>
      <c r="N374" s="131">
        <v>0.93257069774051404</v>
      </c>
      <c r="O374" s="131">
        <v>24.631708587939901</v>
      </c>
    </row>
    <row r="375" spans="2:15" x14ac:dyDescent="0.3">
      <c r="B375" s="552"/>
      <c r="C375" s="25" t="s">
        <v>26</v>
      </c>
      <c r="D375" s="132">
        <v>2.8177507023243599E-2</v>
      </c>
      <c r="E375" s="132">
        <v>1.6202066538365101</v>
      </c>
      <c r="F375" s="132"/>
      <c r="G375" s="132">
        <v>9.8621274581352697E-2</v>
      </c>
      <c r="H375" s="132">
        <v>1.9865142451386799</v>
      </c>
      <c r="I375" s="132">
        <v>27.994353227592502</v>
      </c>
      <c r="J375" s="132">
        <v>0.56355014046487295</v>
      </c>
      <c r="K375" s="132">
        <v>0.732615182604334</v>
      </c>
      <c r="L375" s="132">
        <v>0.14088753511621799</v>
      </c>
      <c r="M375" s="132">
        <v>0.64808266153460303</v>
      </c>
      <c r="N375" s="131">
        <v>1.14118903444137</v>
      </c>
      <c r="O375" s="131">
        <v>34.954197462333703</v>
      </c>
    </row>
    <row r="376" spans="2:15" ht="14.5" thickBot="1" x14ac:dyDescent="0.35">
      <c r="B376" s="557"/>
      <c r="C376" s="27" t="s">
        <v>0</v>
      </c>
      <c r="D376" s="133">
        <v>0.122713734843049</v>
      </c>
      <c r="E376" s="133">
        <v>1.39316181321815</v>
      </c>
      <c r="F376" s="134"/>
      <c r="G376" s="134">
        <v>0.101058369870746</v>
      </c>
      <c r="H376" s="134">
        <v>1.3426326282827701</v>
      </c>
      <c r="I376" s="134">
        <v>23.813683014542299</v>
      </c>
      <c r="J376" s="134">
        <v>0.48363648438142898</v>
      </c>
      <c r="K376" s="134">
        <v>0.73628240905829501</v>
      </c>
      <c r="L376" s="134">
        <v>0.19489828475072499</v>
      </c>
      <c r="M376" s="134">
        <v>0.69297167911368895</v>
      </c>
      <c r="N376" s="135">
        <v>1.0394575186705299</v>
      </c>
      <c r="O376" s="135">
        <v>29.920495936731701</v>
      </c>
    </row>
    <row r="377" spans="2:15" x14ac:dyDescent="0.3">
      <c r="B377" s="551" t="s">
        <v>1</v>
      </c>
      <c r="C377" s="24" t="s">
        <v>25</v>
      </c>
      <c r="D377" s="129">
        <v>1.16306210286572</v>
      </c>
      <c r="E377" s="130">
        <v>2.9742715663702302</v>
      </c>
      <c r="F377" s="130">
        <v>2.74090499890041</v>
      </c>
      <c r="G377" s="130">
        <v>1.33986765308522</v>
      </c>
      <c r="H377" s="130">
        <v>5.5513591004937997</v>
      </c>
      <c r="I377" s="130">
        <v>21.480198469676701</v>
      </c>
      <c r="J377" s="130">
        <v>1.8920707696475501</v>
      </c>
      <c r="K377" s="130">
        <v>1.39768558182999</v>
      </c>
      <c r="L377" s="130">
        <v>1.14756019443415</v>
      </c>
      <c r="M377" s="130">
        <v>3.8876272523382598</v>
      </c>
      <c r="N377" s="131">
        <v>4.3317359803777702</v>
      </c>
      <c r="O377" s="131">
        <v>47.906343670019801</v>
      </c>
    </row>
    <row r="378" spans="2:15" x14ac:dyDescent="0.3">
      <c r="B378" s="552"/>
      <c r="C378" s="25" t="s">
        <v>26</v>
      </c>
      <c r="D378" s="132">
        <v>0.29980261611949799</v>
      </c>
      <c r="E378" s="132">
        <v>4.4472696375354799</v>
      </c>
      <c r="F378" s="132">
        <v>2.1637927946015898</v>
      </c>
      <c r="G378" s="132">
        <v>1.7838058160680501</v>
      </c>
      <c r="H378" s="132">
        <v>9.1647171267517695</v>
      </c>
      <c r="I378" s="132">
        <v>26.112452366835001</v>
      </c>
      <c r="J378" s="132">
        <v>2.1061232531609502</v>
      </c>
      <c r="K378" s="132">
        <v>1.65464184311538</v>
      </c>
      <c r="L378" s="132">
        <v>0.82949340428319596</v>
      </c>
      <c r="M378" s="132">
        <v>2.59394437425131</v>
      </c>
      <c r="N378" s="131">
        <v>5.9826224291777503</v>
      </c>
      <c r="O378" s="131">
        <v>57.138665661899999</v>
      </c>
    </row>
    <row r="379" spans="2:15" ht="14.5" thickBot="1" x14ac:dyDescent="0.35">
      <c r="B379" s="557"/>
      <c r="C379" s="27" t="s">
        <v>0</v>
      </c>
      <c r="D379" s="133">
        <v>0.71871964375252895</v>
      </c>
      <c r="E379" s="133">
        <v>3.7324625799176601</v>
      </c>
      <c r="F379" s="134">
        <v>2.44385010407508</v>
      </c>
      <c r="G379" s="134">
        <v>1.5683743513174</v>
      </c>
      <c r="H379" s="134">
        <v>7.4112499162849197</v>
      </c>
      <c r="I379" s="134">
        <v>23.864541902331101</v>
      </c>
      <c r="J379" s="134">
        <v>2.0022492366831401</v>
      </c>
      <c r="K379" s="134">
        <v>1.52994775650291</v>
      </c>
      <c r="L379" s="134">
        <v>0.98384281644087301</v>
      </c>
      <c r="M379" s="134">
        <v>3.2217345049229298</v>
      </c>
      <c r="N379" s="135">
        <v>5.1814908404620104</v>
      </c>
      <c r="O379" s="135">
        <v>52.6584636526906</v>
      </c>
    </row>
  </sheetData>
  <mergeCells count="105">
    <mergeCell ref="A57:K57"/>
    <mergeCell ref="B30:B32"/>
    <mergeCell ref="C30:J30"/>
    <mergeCell ref="K30:R30"/>
    <mergeCell ref="S30:Z30"/>
    <mergeCell ref="C31:I31"/>
    <mergeCell ref="J31:J32"/>
    <mergeCell ref="K31:Q31"/>
    <mergeCell ref="R31:R32"/>
    <mergeCell ref="S31:Y31"/>
    <mergeCell ref="Z31:Z32"/>
    <mergeCell ref="A1:K1"/>
    <mergeCell ref="A28:K28"/>
    <mergeCell ref="A127:K127"/>
    <mergeCell ref="S284:Z284"/>
    <mergeCell ref="C155:J155"/>
    <mergeCell ref="C156:I156"/>
    <mergeCell ref="A182:K182"/>
    <mergeCell ref="B256:L256"/>
    <mergeCell ref="A282:K282"/>
    <mergeCell ref="B284:B286"/>
    <mergeCell ref="J285:J286"/>
    <mergeCell ref="J156:J157"/>
    <mergeCell ref="R156:R157"/>
    <mergeCell ref="S155:Y155"/>
    <mergeCell ref="S156:Y156"/>
    <mergeCell ref="Z155:Z157"/>
    <mergeCell ref="B200:B202"/>
    <mergeCell ref="B203:B205"/>
    <mergeCell ref="B206:B208"/>
    <mergeCell ref="B185:B187"/>
    <mergeCell ref="B191:B193"/>
    <mergeCell ref="B197:B199"/>
    <mergeCell ref="B155:B157"/>
    <mergeCell ref="C284:J284"/>
    <mergeCell ref="C285:I285"/>
    <mergeCell ref="B215:B217"/>
    <mergeCell ref="B218:B220"/>
    <mergeCell ref="B221:B223"/>
    <mergeCell ref="B329:B331"/>
    <mergeCell ref="B332:B334"/>
    <mergeCell ref="B335:B337"/>
    <mergeCell ref="B338:B340"/>
    <mergeCell ref="B341:B343"/>
    <mergeCell ref="B344:B346"/>
    <mergeCell ref="B239:B241"/>
    <mergeCell ref="B242:B244"/>
    <mergeCell ref="B245:B247"/>
    <mergeCell ref="B248:B250"/>
    <mergeCell ref="B377:B379"/>
    <mergeCell ref="Z285:Z286"/>
    <mergeCell ref="S285:Y285"/>
    <mergeCell ref="B359:B361"/>
    <mergeCell ref="B362:B364"/>
    <mergeCell ref="B365:B367"/>
    <mergeCell ref="A311:K311"/>
    <mergeCell ref="B314:B316"/>
    <mergeCell ref="B317:B319"/>
    <mergeCell ref="B320:B322"/>
    <mergeCell ref="B326:B328"/>
    <mergeCell ref="B347:B349"/>
    <mergeCell ref="B350:B352"/>
    <mergeCell ref="B353:B355"/>
    <mergeCell ref="B356:B358"/>
    <mergeCell ref="K285:Q285"/>
    <mergeCell ref="R285:R286"/>
    <mergeCell ref="B368:B370"/>
    <mergeCell ref="B371:B373"/>
    <mergeCell ref="B374:B376"/>
    <mergeCell ref="B93:B95"/>
    <mergeCell ref="B90:B92"/>
    <mergeCell ref="B60:B62"/>
    <mergeCell ref="B66:B68"/>
    <mergeCell ref="B69:B71"/>
    <mergeCell ref="B72:B74"/>
    <mergeCell ref="B75:B77"/>
    <mergeCell ref="B78:B80"/>
    <mergeCell ref="B81:B83"/>
    <mergeCell ref="B84:B86"/>
    <mergeCell ref="B87:B89"/>
    <mergeCell ref="B63:B65"/>
    <mergeCell ref="B194:B196"/>
    <mergeCell ref="B323:B325"/>
    <mergeCell ref="B96:B98"/>
    <mergeCell ref="B99:B101"/>
    <mergeCell ref="B102:B104"/>
    <mergeCell ref="B105:B107"/>
    <mergeCell ref="B108:B110"/>
    <mergeCell ref="B117:B119"/>
    <mergeCell ref="B120:B122"/>
    <mergeCell ref="B123:B125"/>
    <mergeCell ref="A153:K153"/>
    <mergeCell ref="K155:R155"/>
    <mergeCell ref="K156:Q156"/>
    <mergeCell ref="B188:B190"/>
    <mergeCell ref="K284:R284"/>
    <mergeCell ref="B111:B113"/>
    <mergeCell ref="B114:B116"/>
    <mergeCell ref="B224:B226"/>
    <mergeCell ref="B227:B229"/>
    <mergeCell ref="B230:B232"/>
    <mergeCell ref="B233:B235"/>
    <mergeCell ref="B236:B238"/>
    <mergeCell ref="B209:B211"/>
    <mergeCell ref="B212:B2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0"/>
  <sheetViews>
    <sheetView zoomScale="75" zoomScaleNormal="75" workbookViewId="0">
      <selection activeCell="M18" sqref="M18"/>
    </sheetView>
  </sheetViews>
  <sheetFormatPr defaultColWidth="8.83203125" defaultRowHeight="14" x14ac:dyDescent="0.3"/>
  <cols>
    <col min="1" max="1" width="23.1640625" customWidth="1"/>
    <col min="2" max="2" width="15.33203125" customWidth="1"/>
    <col min="3" max="3" width="14.6640625" bestFit="1" customWidth="1"/>
    <col min="4" max="4" width="14.1640625" customWidth="1"/>
    <col min="5" max="5" width="12.1640625" customWidth="1"/>
    <col min="6" max="6" width="9.83203125" bestFit="1" customWidth="1"/>
    <col min="7" max="7" width="9.33203125" bestFit="1" customWidth="1"/>
    <col min="8" max="8" width="11.1640625" bestFit="1" customWidth="1"/>
    <col min="9" max="9" width="13.1640625" bestFit="1" customWidth="1"/>
    <col min="10" max="10" width="9.83203125" bestFit="1" customWidth="1"/>
    <col min="11" max="11" width="9.33203125" bestFit="1" customWidth="1"/>
    <col min="12" max="12" width="9.83203125" bestFit="1" customWidth="1"/>
    <col min="13" max="13" width="9.33203125" bestFit="1" customWidth="1"/>
    <col min="14" max="14" width="11.1640625" bestFit="1" customWidth="1"/>
    <col min="15" max="15" width="9.1640625" bestFit="1" customWidth="1"/>
    <col min="16" max="16" width="11.33203125" bestFit="1" customWidth="1"/>
    <col min="17" max="17" width="9.1640625" bestFit="1" customWidth="1"/>
    <col min="18" max="18" width="9.83203125" bestFit="1" customWidth="1"/>
    <col min="19" max="19" width="9.1640625" bestFit="1" customWidth="1"/>
    <col min="20" max="20" width="12.1640625" bestFit="1" customWidth="1"/>
    <col min="21" max="21" width="9.1640625" bestFit="1" customWidth="1"/>
  </cols>
  <sheetData>
    <row r="1" spans="1:11" ht="35.25" customHeight="1" x14ac:dyDescent="0.3">
      <c r="A1" s="478" t="s">
        <v>237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</row>
    <row r="2" spans="1:11" ht="14.5" thickBot="1" x14ac:dyDescent="0.35"/>
    <row r="3" spans="1:11" x14ac:dyDescent="0.3">
      <c r="A3" s="388" t="s">
        <v>76</v>
      </c>
      <c r="B3" s="389" t="s">
        <v>25</v>
      </c>
      <c r="C3" s="389" t="s">
        <v>26</v>
      </c>
      <c r="D3" s="390" t="s">
        <v>21</v>
      </c>
    </row>
    <row r="4" spans="1:11" x14ac:dyDescent="0.3">
      <c r="A4" s="2" t="s">
        <v>3</v>
      </c>
      <c r="B4" s="119">
        <v>149.01380375797501</v>
      </c>
      <c r="C4" s="144">
        <v>174.15343834515301</v>
      </c>
      <c r="D4" s="145">
        <v>162.01298250268499</v>
      </c>
    </row>
    <row r="5" spans="1:11" x14ac:dyDescent="0.3">
      <c r="A5" s="2" t="s">
        <v>4</v>
      </c>
      <c r="B5" s="119">
        <v>164.823375660756</v>
      </c>
      <c r="C5" s="119">
        <v>203.22663628679601</v>
      </c>
      <c r="D5" s="146">
        <v>184.59820794973899</v>
      </c>
    </row>
    <row r="6" spans="1:11" x14ac:dyDescent="0.3">
      <c r="A6" s="2" t="s">
        <v>5</v>
      </c>
      <c r="B6" s="119">
        <v>163.64525833789301</v>
      </c>
      <c r="C6" s="144">
        <v>186.80547915379401</v>
      </c>
      <c r="D6" s="145">
        <v>175.533727333711</v>
      </c>
    </row>
    <row r="7" spans="1:11" x14ac:dyDescent="0.3">
      <c r="A7" s="2" t="s">
        <v>23</v>
      </c>
      <c r="B7" s="119">
        <v>246.02146944572101</v>
      </c>
      <c r="C7" s="119">
        <v>304.262548193231</v>
      </c>
      <c r="D7" s="145">
        <v>275.62917836037099</v>
      </c>
    </row>
    <row r="8" spans="1:11" x14ac:dyDescent="0.3">
      <c r="A8" s="2" t="s">
        <v>24</v>
      </c>
      <c r="B8" s="119">
        <v>173.19463370976499</v>
      </c>
      <c r="C8" s="144">
        <v>210.475316634796</v>
      </c>
      <c r="D8" s="145">
        <v>192.28025505668501</v>
      </c>
    </row>
    <row r="9" spans="1:11" x14ac:dyDescent="0.3">
      <c r="A9" s="2" t="s">
        <v>6</v>
      </c>
      <c r="B9" s="119">
        <v>128.33086616272601</v>
      </c>
      <c r="C9" s="144">
        <v>154.15716481101001</v>
      </c>
      <c r="D9" s="145">
        <v>141.57679962611201</v>
      </c>
    </row>
    <row r="10" spans="1:11" x14ac:dyDescent="0.3">
      <c r="A10" s="2" t="s">
        <v>22</v>
      </c>
      <c r="B10" s="119">
        <v>99.157748059067401</v>
      </c>
      <c r="C10" s="144">
        <v>124.111219220118</v>
      </c>
      <c r="D10" s="145">
        <v>112.038433045929</v>
      </c>
    </row>
    <row r="11" spans="1:11" x14ac:dyDescent="0.3">
      <c r="A11" s="2" t="s">
        <v>7</v>
      </c>
      <c r="B11" s="119">
        <v>181.77451625934799</v>
      </c>
      <c r="C11" s="144">
        <v>211.07935282492099</v>
      </c>
      <c r="D11" s="145">
        <v>197.125328207726</v>
      </c>
    </row>
    <row r="12" spans="1:11" x14ac:dyDescent="0.3">
      <c r="A12" s="2" t="s">
        <v>8</v>
      </c>
      <c r="B12" s="119">
        <v>195.31888998671701</v>
      </c>
      <c r="C12" s="144">
        <v>235.452451504756</v>
      </c>
      <c r="D12" s="145">
        <v>216.01122912896099</v>
      </c>
    </row>
    <row r="13" spans="1:11" x14ac:dyDescent="0.3">
      <c r="A13" s="2" t="s">
        <v>9</v>
      </c>
      <c r="B13" s="119">
        <v>72.857477786470895</v>
      </c>
      <c r="C13" s="144">
        <v>90.287132805238002</v>
      </c>
      <c r="D13" s="145">
        <v>81.915017795440505</v>
      </c>
    </row>
    <row r="14" spans="1:11" x14ac:dyDescent="0.3">
      <c r="A14" s="2" t="s">
        <v>10</v>
      </c>
      <c r="B14" s="119">
        <v>188.586602252429</v>
      </c>
      <c r="C14" s="144">
        <v>219.638711549623</v>
      </c>
      <c r="D14" s="145">
        <v>204.774929929423</v>
      </c>
    </row>
    <row r="15" spans="1:11" x14ac:dyDescent="0.3">
      <c r="A15" s="2" t="s">
        <v>11</v>
      </c>
      <c r="B15" s="119">
        <v>68.181561081402606</v>
      </c>
      <c r="C15" s="144">
        <v>70.273941315360005</v>
      </c>
      <c r="D15" s="145">
        <v>69.262357842233399</v>
      </c>
    </row>
    <row r="16" spans="1:11" x14ac:dyDescent="0.3">
      <c r="A16" s="2" t="s">
        <v>12</v>
      </c>
      <c r="B16" s="119">
        <v>112.90738552677701</v>
      </c>
      <c r="C16" s="144">
        <v>132.455605647086</v>
      </c>
      <c r="D16" s="145">
        <v>123.08693634687501</v>
      </c>
    </row>
    <row r="17" spans="1:25" x14ac:dyDescent="0.3">
      <c r="A17" s="2" t="s">
        <v>13</v>
      </c>
      <c r="B17" s="119"/>
      <c r="C17" s="144"/>
      <c r="D17" s="145"/>
    </row>
    <row r="18" spans="1:25" x14ac:dyDescent="0.3">
      <c r="A18" s="2" t="s">
        <v>14</v>
      </c>
      <c r="B18" s="119">
        <v>174.624916892958</v>
      </c>
      <c r="C18" s="144">
        <v>176.52521624338999</v>
      </c>
      <c r="D18" s="145">
        <v>175.59537807879801</v>
      </c>
    </row>
    <row r="19" spans="1:25" x14ac:dyDescent="0.3">
      <c r="A19" s="2" t="s">
        <v>15</v>
      </c>
      <c r="B19" s="119">
        <v>108.042848362455</v>
      </c>
      <c r="C19" s="144">
        <v>101.753201830522</v>
      </c>
      <c r="D19" s="145">
        <v>104.79457914565801</v>
      </c>
    </row>
    <row r="20" spans="1:25" x14ac:dyDescent="0.3">
      <c r="A20" s="2" t="s">
        <v>16</v>
      </c>
      <c r="B20" s="119">
        <v>160.37058147859199</v>
      </c>
      <c r="C20" s="144">
        <v>155.071538686656</v>
      </c>
      <c r="D20" s="145">
        <v>157.62760891152601</v>
      </c>
    </row>
    <row r="21" spans="1:25" x14ac:dyDescent="0.3">
      <c r="A21" s="2" t="s">
        <v>17</v>
      </c>
      <c r="B21" s="119">
        <v>141.759828317943</v>
      </c>
      <c r="C21" s="144">
        <v>140.03466493342</v>
      </c>
      <c r="D21" s="145">
        <v>140.87748496078001</v>
      </c>
    </row>
    <row r="22" spans="1:25" x14ac:dyDescent="0.3">
      <c r="A22" s="2" t="s">
        <v>18</v>
      </c>
      <c r="B22" s="119">
        <v>111.768247057579</v>
      </c>
      <c r="C22" s="144">
        <v>122.43072852381</v>
      </c>
      <c r="D22" s="145">
        <v>117.255023019333</v>
      </c>
    </row>
    <row r="23" spans="1:25" x14ac:dyDescent="0.3">
      <c r="A23" s="2" t="s">
        <v>19</v>
      </c>
      <c r="B23" s="119">
        <v>151.99307357899599</v>
      </c>
      <c r="C23" s="144">
        <v>141.67421032767399</v>
      </c>
      <c r="D23" s="145">
        <v>146.64882127847</v>
      </c>
    </row>
    <row r="24" spans="1:25" ht="14.5" thickBot="1" x14ac:dyDescent="0.35">
      <c r="A24" s="210" t="s">
        <v>20</v>
      </c>
      <c r="B24" s="211">
        <v>101.161937359631</v>
      </c>
      <c r="C24" s="211">
        <v>127.098939394788</v>
      </c>
      <c r="D24" s="212">
        <v>114.472567197374</v>
      </c>
    </row>
    <row r="25" spans="1:25" ht="14.5" thickBot="1" x14ac:dyDescent="0.35">
      <c r="A25" s="213" t="s">
        <v>1</v>
      </c>
      <c r="B25" s="416">
        <v>135.974766662234</v>
      </c>
      <c r="C25" s="416">
        <v>151.680486730475</v>
      </c>
      <c r="D25" s="417">
        <v>144.08383168984599</v>
      </c>
    </row>
    <row r="27" spans="1:25" ht="29.25" customHeight="1" x14ac:dyDescent="0.3">
      <c r="A27" s="478" t="s">
        <v>238</v>
      </c>
      <c r="B27" s="479"/>
      <c r="C27" s="479"/>
      <c r="D27" s="479"/>
      <c r="E27" s="479"/>
      <c r="F27" s="479"/>
      <c r="G27" s="479"/>
      <c r="H27" s="479"/>
      <c r="I27" s="479"/>
      <c r="J27" s="479"/>
      <c r="K27" s="479"/>
    </row>
    <row r="28" spans="1:25" ht="14.5" thickBot="1" x14ac:dyDescent="0.35"/>
    <row r="29" spans="1:25" ht="14.25" customHeight="1" x14ac:dyDescent="0.3">
      <c r="A29" s="583" t="s">
        <v>69</v>
      </c>
      <c r="B29" s="586" t="s">
        <v>45</v>
      </c>
      <c r="C29" s="582"/>
      <c r="D29" s="582"/>
      <c r="E29" s="582"/>
      <c r="F29" s="582"/>
      <c r="G29" s="582"/>
      <c r="H29" s="582"/>
      <c r="I29" s="582"/>
      <c r="J29" s="582"/>
      <c r="K29" s="582"/>
      <c r="L29" s="582"/>
      <c r="M29" s="582"/>
      <c r="N29" s="582"/>
      <c r="O29" s="582"/>
      <c r="P29" s="582"/>
      <c r="Q29" s="582"/>
      <c r="R29" s="581" t="s">
        <v>21</v>
      </c>
      <c r="S29" s="582"/>
      <c r="T29" s="582"/>
      <c r="U29" s="582"/>
      <c r="V29" s="582"/>
      <c r="W29" s="582"/>
      <c r="X29" s="582"/>
      <c r="Y29" s="571" t="s">
        <v>21</v>
      </c>
    </row>
    <row r="30" spans="1:25" ht="14.25" customHeight="1" x14ac:dyDescent="0.3">
      <c r="A30" s="584"/>
      <c r="B30" s="587" t="s">
        <v>25</v>
      </c>
      <c r="C30" s="574"/>
      <c r="D30" s="574"/>
      <c r="E30" s="574"/>
      <c r="F30" s="574"/>
      <c r="G30" s="574"/>
      <c r="H30" s="574"/>
      <c r="I30" s="574" t="s">
        <v>46</v>
      </c>
      <c r="J30" s="574" t="s">
        <v>26</v>
      </c>
      <c r="K30" s="574"/>
      <c r="L30" s="574"/>
      <c r="M30" s="574"/>
      <c r="N30" s="574"/>
      <c r="O30" s="574"/>
      <c r="P30" s="574"/>
      <c r="Q30" s="574" t="s">
        <v>47</v>
      </c>
      <c r="R30" s="573" t="s">
        <v>48</v>
      </c>
      <c r="S30" s="574"/>
      <c r="T30" s="574"/>
      <c r="U30" s="574"/>
      <c r="V30" s="574"/>
      <c r="W30" s="574"/>
      <c r="X30" s="574"/>
      <c r="Y30" s="572"/>
    </row>
    <row r="31" spans="1:25" ht="15" customHeight="1" x14ac:dyDescent="0.3">
      <c r="A31" s="584"/>
      <c r="B31" s="587" t="s">
        <v>48</v>
      </c>
      <c r="C31" s="574"/>
      <c r="D31" s="574"/>
      <c r="E31" s="574"/>
      <c r="F31" s="574"/>
      <c r="G31" s="574"/>
      <c r="H31" s="574"/>
      <c r="I31" s="574"/>
      <c r="J31" s="574" t="s">
        <v>48</v>
      </c>
      <c r="K31" s="574"/>
      <c r="L31" s="574"/>
      <c r="M31" s="574"/>
      <c r="N31" s="574"/>
      <c r="O31" s="574"/>
      <c r="P31" s="574"/>
      <c r="Q31" s="574"/>
      <c r="R31" s="575" t="s">
        <v>28</v>
      </c>
      <c r="S31" s="577" t="s">
        <v>29</v>
      </c>
      <c r="T31" s="577" t="s">
        <v>30</v>
      </c>
      <c r="U31" s="577" t="s">
        <v>31</v>
      </c>
      <c r="V31" s="577" t="s">
        <v>32</v>
      </c>
      <c r="W31" s="579" t="s">
        <v>74</v>
      </c>
      <c r="X31" s="579" t="s">
        <v>75</v>
      </c>
      <c r="Y31" s="572"/>
    </row>
    <row r="32" spans="1:25" x14ac:dyDescent="0.3">
      <c r="A32" s="585"/>
      <c r="B32" s="386" t="s">
        <v>28</v>
      </c>
      <c r="C32" s="387" t="s">
        <v>29</v>
      </c>
      <c r="D32" s="387" t="s">
        <v>30</v>
      </c>
      <c r="E32" s="387" t="s">
        <v>31</v>
      </c>
      <c r="F32" s="387" t="s">
        <v>32</v>
      </c>
      <c r="G32" s="380" t="s">
        <v>74</v>
      </c>
      <c r="H32" s="380" t="s">
        <v>75</v>
      </c>
      <c r="I32" s="574"/>
      <c r="J32" s="387" t="s">
        <v>28</v>
      </c>
      <c r="K32" s="387" t="s">
        <v>29</v>
      </c>
      <c r="L32" s="387" t="s">
        <v>30</v>
      </c>
      <c r="M32" s="387" t="s">
        <v>31</v>
      </c>
      <c r="N32" s="387" t="s">
        <v>32</v>
      </c>
      <c r="O32" s="380" t="s">
        <v>74</v>
      </c>
      <c r="P32" s="380" t="s">
        <v>75</v>
      </c>
      <c r="Q32" s="574"/>
      <c r="R32" s="576"/>
      <c r="S32" s="578"/>
      <c r="T32" s="578"/>
      <c r="U32" s="578"/>
      <c r="V32" s="578"/>
      <c r="W32" s="580"/>
      <c r="X32" s="580"/>
      <c r="Y32" s="572"/>
    </row>
    <row r="33" spans="1:25" x14ac:dyDescent="0.3">
      <c r="A33" s="214" t="s">
        <v>36</v>
      </c>
      <c r="B33" s="147">
        <v>4.5305461515793999</v>
      </c>
      <c r="C33" s="148">
        <v>7.8588395371072703</v>
      </c>
      <c r="D33" s="148">
        <v>6.8100322481128597</v>
      </c>
      <c r="E33" s="148">
        <v>5.8490618382237303</v>
      </c>
      <c r="F33" s="148">
        <v>4.1513269339356302</v>
      </c>
      <c r="G33" s="148">
        <v>1.6461308276244</v>
      </c>
      <c r="H33" s="148">
        <v>0.358320853354894</v>
      </c>
      <c r="I33" s="148">
        <v>4.4905257991768002</v>
      </c>
      <c r="J33" s="148">
        <v>1.2732512444327999</v>
      </c>
      <c r="K33" s="148">
        <v>1.6143288523267501</v>
      </c>
      <c r="L33" s="148">
        <v>1.7905124398696199</v>
      </c>
      <c r="M33" s="148">
        <v>1.7980370820048699</v>
      </c>
      <c r="N33" s="148">
        <v>1.56983457841064</v>
      </c>
      <c r="O33" s="148">
        <v>0.814658081906943</v>
      </c>
      <c r="P33" s="148">
        <v>0.22935163603074901</v>
      </c>
      <c r="Q33" s="148">
        <v>1.2710998928492001</v>
      </c>
      <c r="R33" s="215">
        <v>2.97334708704668</v>
      </c>
      <c r="S33" s="148">
        <v>4.8548853557318301</v>
      </c>
      <c r="T33" s="148">
        <v>4.3192006670616898</v>
      </c>
      <c r="U33" s="148">
        <v>3.8102731993444698</v>
      </c>
      <c r="V33" s="148">
        <v>2.8333525503102499</v>
      </c>
      <c r="W33" s="148">
        <v>1.2098041833051101</v>
      </c>
      <c r="X33" s="148">
        <v>0.283042214216292</v>
      </c>
      <c r="Y33" s="149">
        <v>2.8334022504484402</v>
      </c>
    </row>
    <row r="34" spans="1:25" x14ac:dyDescent="0.3">
      <c r="A34" s="214" t="s">
        <v>37</v>
      </c>
      <c r="B34" s="147">
        <v>14.6186902306259</v>
      </c>
      <c r="C34" s="148">
        <v>10.220996875451601</v>
      </c>
      <c r="D34" s="148">
        <v>8.4321707221111595</v>
      </c>
      <c r="E34" s="148">
        <v>9.3608108233074692</v>
      </c>
      <c r="F34" s="148">
        <v>11.1191417278374</v>
      </c>
      <c r="G34" s="148">
        <v>5.7951148466925897</v>
      </c>
      <c r="H34" s="148">
        <v>2.67362482887882</v>
      </c>
      <c r="I34" s="148">
        <v>8.7229657714929001</v>
      </c>
      <c r="J34" s="148">
        <v>35.567199371233997</v>
      </c>
      <c r="K34" s="148">
        <v>18.455424040793599</v>
      </c>
      <c r="L34" s="148">
        <v>14.530697108172699</v>
      </c>
      <c r="M34" s="148">
        <v>16.034018496507901</v>
      </c>
      <c r="N34" s="148">
        <v>16.904411798140501</v>
      </c>
      <c r="O34" s="148">
        <v>9.31869091650697</v>
      </c>
      <c r="P34" s="148">
        <v>3.1344723590868999</v>
      </c>
      <c r="Q34" s="148">
        <v>14.4525400806275</v>
      </c>
      <c r="R34" s="215">
        <v>24.6334416630304</v>
      </c>
      <c r="S34" s="148">
        <v>14.182210677975499</v>
      </c>
      <c r="T34" s="148">
        <v>11.4584367197729</v>
      </c>
      <c r="U34" s="148">
        <v>12.719284495460901</v>
      </c>
      <c r="V34" s="148">
        <v>14.0727967091102</v>
      </c>
      <c r="W34" s="148">
        <v>7.6441593649458701</v>
      </c>
      <c r="X34" s="148">
        <v>2.9426190559063201</v>
      </c>
      <c r="Y34" s="149">
        <v>11.672129003730999</v>
      </c>
    </row>
    <row r="35" spans="1:25" x14ac:dyDescent="0.3">
      <c r="A35" s="214" t="s">
        <v>177</v>
      </c>
      <c r="B35" s="147">
        <v>8.0148432978152595</v>
      </c>
      <c r="C35" s="148">
        <v>7.1122175991019896</v>
      </c>
      <c r="D35" s="148">
        <v>6.2378597681934602</v>
      </c>
      <c r="E35" s="148">
        <v>6.2767600358804101</v>
      </c>
      <c r="F35" s="148">
        <v>6.0892151326933899</v>
      </c>
      <c r="G35" s="148">
        <v>5.6757856603034602</v>
      </c>
      <c r="H35" s="148">
        <v>4.86948851995112</v>
      </c>
      <c r="I35" s="148">
        <v>6.2221308680327096</v>
      </c>
      <c r="J35" s="148">
        <v>7.9329316216924299</v>
      </c>
      <c r="K35" s="148">
        <v>5.7247919945953001</v>
      </c>
      <c r="L35" s="148">
        <v>5.6769424514929803</v>
      </c>
      <c r="M35" s="148">
        <v>5.6679239996193997</v>
      </c>
      <c r="N35" s="148">
        <v>5.84194992076125</v>
      </c>
      <c r="O35" s="148">
        <v>4.8297586284482996</v>
      </c>
      <c r="P35" s="148">
        <v>3.69146918944729</v>
      </c>
      <c r="Q35" s="148">
        <v>5.4011870524611503</v>
      </c>
      <c r="R35" s="215">
        <v>7.9756841829457601</v>
      </c>
      <c r="S35" s="148">
        <v>6.4447893318779297</v>
      </c>
      <c r="T35" s="148">
        <v>5.9595162970706701</v>
      </c>
      <c r="U35" s="148">
        <v>5.9703467038553004</v>
      </c>
      <c r="V35" s="148">
        <v>5.96297450502282</v>
      </c>
      <c r="W35" s="148">
        <v>5.2318214561680101</v>
      </c>
      <c r="X35" s="148">
        <v>4.1818849667992799</v>
      </c>
      <c r="Y35" s="149">
        <v>5.7995694025575402</v>
      </c>
    </row>
    <row r="36" spans="1:25" x14ac:dyDescent="0.3">
      <c r="A36" s="214" t="s">
        <v>38</v>
      </c>
      <c r="B36" s="147">
        <v>1.1662316894425799</v>
      </c>
      <c r="C36" s="148">
        <v>1.5447350441488501</v>
      </c>
      <c r="D36" s="148">
        <v>1.8964273432380101</v>
      </c>
      <c r="E36" s="148">
        <v>2.7372684650027299</v>
      </c>
      <c r="F36" s="148">
        <v>3.81253529079616</v>
      </c>
      <c r="G36" s="148">
        <v>5.4463064557089798</v>
      </c>
      <c r="H36" s="148">
        <v>11.2396370240381</v>
      </c>
      <c r="I36" s="148">
        <v>4.0589861860818104</v>
      </c>
      <c r="J36" s="148">
        <v>1.3099292638197499</v>
      </c>
      <c r="K36" s="148">
        <v>1.24633130749528</v>
      </c>
      <c r="L36" s="148">
        <v>1.53301399533988</v>
      </c>
      <c r="M36" s="148">
        <v>2.3114359950138699</v>
      </c>
      <c r="N36" s="148">
        <v>3.5142641665661598</v>
      </c>
      <c r="O36" s="148">
        <v>5.8466957579035697</v>
      </c>
      <c r="P36" s="148">
        <v>13.9008934447589</v>
      </c>
      <c r="Q36" s="148">
        <v>4.8312065846608396</v>
      </c>
      <c r="R36" s="215">
        <v>1.2349284868694299</v>
      </c>
      <c r="S36" s="148">
        <v>1.40118638233884</v>
      </c>
      <c r="T36" s="148">
        <v>1.71609108030831</v>
      </c>
      <c r="U36" s="148">
        <v>2.52295666635316</v>
      </c>
      <c r="V36" s="148">
        <v>3.6602537237913499</v>
      </c>
      <c r="W36" s="148">
        <v>5.6564161935779804</v>
      </c>
      <c r="X36" s="148">
        <v>12.792998096604901</v>
      </c>
      <c r="Y36" s="149">
        <v>4.4564684218986397</v>
      </c>
    </row>
    <row r="37" spans="1:25" x14ac:dyDescent="0.3">
      <c r="A37" s="214" t="s">
        <v>39</v>
      </c>
      <c r="B37" s="147">
        <v>16.173665816549398</v>
      </c>
      <c r="C37" s="148">
        <v>18.108800194636601</v>
      </c>
      <c r="D37" s="148">
        <v>19.096993852979999</v>
      </c>
      <c r="E37" s="148">
        <v>27.7980709655345</v>
      </c>
      <c r="F37" s="148">
        <v>38.068887634105003</v>
      </c>
      <c r="G37" s="148">
        <v>29.572220165408599</v>
      </c>
      <c r="H37" s="148">
        <v>15.7354918336534</v>
      </c>
      <c r="I37" s="148">
        <v>24.783780847593199</v>
      </c>
      <c r="J37" s="148">
        <v>29.693476552266201</v>
      </c>
      <c r="K37" s="148">
        <v>26.4298614037926</v>
      </c>
      <c r="L37" s="148">
        <v>31.480681927741099</v>
      </c>
      <c r="M37" s="148">
        <v>49.694733006324903</v>
      </c>
      <c r="N37" s="148">
        <v>68.509746290913995</v>
      </c>
      <c r="O37" s="148">
        <v>55.299766464683202</v>
      </c>
      <c r="P37" s="148">
        <v>24.929430685894602</v>
      </c>
      <c r="Q37" s="148">
        <v>42.889943960610601</v>
      </c>
      <c r="R37" s="215">
        <v>22.637015691357099</v>
      </c>
      <c r="S37" s="148">
        <v>22.111689752283901</v>
      </c>
      <c r="T37" s="148">
        <v>25.2421397085349</v>
      </c>
      <c r="U37" s="148">
        <v>38.818163037203497</v>
      </c>
      <c r="V37" s="148">
        <v>53.610390919740702</v>
      </c>
      <c r="W37" s="148">
        <v>43.073100382047997</v>
      </c>
      <c r="X37" s="148">
        <v>21.1019445382606</v>
      </c>
      <c r="Y37" s="149">
        <v>34.103501240203101</v>
      </c>
    </row>
    <row r="38" spans="1:25" x14ac:dyDescent="0.3">
      <c r="A38" s="214" t="s">
        <v>178</v>
      </c>
      <c r="B38" s="147">
        <v>22.1823986362288</v>
      </c>
      <c r="C38" s="148">
        <v>17.252759524337499</v>
      </c>
      <c r="D38" s="148">
        <v>14.997407527784301</v>
      </c>
      <c r="E38" s="148">
        <v>14.7105061172402</v>
      </c>
      <c r="F38" s="148">
        <v>14.172783738001099</v>
      </c>
      <c r="G38" s="148">
        <v>10.4091767204056</v>
      </c>
      <c r="H38" s="148">
        <v>7.3103579227190698</v>
      </c>
      <c r="I38" s="148">
        <v>14.0334168355502</v>
      </c>
      <c r="J38" s="148">
        <v>27.513754257270101</v>
      </c>
      <c r="K38" s="148">
        <v>17.799277475009099</v>
      </c>
      <c r="L38" s="148">
        <v>16.863153948738599</v>
      </c>
      <c r="M38" s="148">
        <v>17.4829443176666</v>
      </c>
      <c r="N38" s="148">
        <v>19.071866160883999</v>
      </c>
      <c r="O38" s="148">
        <v>14.317477242221701</v>
      </c>
      <c r="P38" s="148">
        <v>9.1063521010685005</v>
      </c>
      <c r="Q38" s="148">
        <v>16.517188663574299</v>
      </c>
      <c r="R38" s="215">
        <v>24.731133774567699</v>
      </c>
      <c r="S38" s="148">
        <v>17.515664812836398</v>
      </c>
      <c r="T38" s="148">
        <v>15.9232451148607</v>
      </c>
      <c r="U38" s="148">
        <v>16.1058112178439</v>
      </c>
      <c r="V38" s="148">
        <v>16.673997860448502</v>
      </c>
      <c r="W38" s="148">
        <v>12.460110633102699</v>
      </c>
      <c r="X38" s="148">
        <v>8.3586700738829407</v>
      </c>
      <c r="Y38" s="149">
        <v>15.311879799334299</v>
      </c>
    </row>
    <row r="39" spans="1:25" x14ac:dyDescent="0.3">
      <c r="A39" s="214" t="s">
        <v>40</v>
      </c>
      <c r="B39" s="147">
        <v>16.264852656464601</v>
      </c>
      <c r="C39" s="148">
        <v>16.364536873951899</v>
      </c>
      <c r="D39" s="148">
        <v>13.4843947329459</v>
      </c>
      <c r="E39" s="148">
        <v>15.3508974726504</v>
      </c>
      <c r="F39" s="148">
        <v>13.443252399774099</v>
      </c>
      <c r="G39" s="148">
        <v>6.9761678196721801</v>
      </c>
      <c r="H39" s="148">
        <v>1.92635740820708</v>
      </c>
      <c r="I39" s="148">
        <v>11.9603508107016</v>
      </c>
      <c r="J39" s="148">
        <v>37.018600995546201</v>
      </c>
      <c r="K39" s="148">
        <v>19.583718399946701</v>
      </c>
      <c r="L39" s="148">
        <v>12.719225492585499</v>
      </c>
      <c r="M39" s="148">
        <v>15.2148620086402</v>
      </c>
      <c r="N39" s="148">
        <v>14.557238442282401</v>
      </c>
      <c r="O39" s="148">
        <v>8.3821112168996699</v>
      </c>
      <c r="P39" s="148">
        <v>2.38307271342426</v>
      </c>
      <c r="Q39" s="148">
        <v>13.611986764287201</v>
      </c>
      <c r="R39" s="215">
        <v>26.1864957438803</v>
      </c>
      <c r="S39" s="148">
        <v>17.913140806872899</v>
      </c>
      <c r="T39" s="148">
        <v>13.104695522354399</v>
      </c>
      <c r="U39" s="148">
        <v>15.2824339170814</v>
      </c>
      <c r="V39" s="148">
        <v>14.011995152236601</v>
      </c>
      <c r="W39" s="148">
        <v>7.7139557601365496</v>
      </c>
      <c r="X39" s="148">
        <v>2.19293967771182</v>
      </c>
      <c r="Y39" s="149">
        <v>12.810491460695699</v>
      </c>
    </row>
    <row r="40" spans="1:25" x14ac:dyDescent="0.3">
      <c r="A40" s="214" t="s">
        <v>41</v>
      </c>
      <c r="B40" s="147">
        <v>3.6810687481582698</v>
      </c>
      <c r="C40" s="148">
        <v>7.8234393590121902</v>
      </c>
      <c r="D40" s="148">
        <v>10.428875716469101</v>
      </c>
      <c r="E40" s="148">
        <v>14.0793622904279</v>
      </c>
      <c r="F40" s="148">
        <v>16.128740824392999</v>
      </c>
      <c r="G40" s="148">
        <v>13.224121630097899</v>
      </c>
      <c r="H40" s="148">
        <v>5.2186216591174297</v>
      </c>
      <c r="I40" s="148">
        <v>10.889462217428999</v>
      </c>
      <c r="J40" s="148">
        <v>4.7891013885250198</v>
      </c>
      <c r="K40" s="148">
        <v>7.15859374945755</v>
      </c>
      <c r="L40" s="148">
        <v>10.8119405022896</v>
      </c>
      <c r="M40" s="148">
        <v>16.898810443309699</v>
      </c>
      <c r="N40" s="148">
        <v>22.557981569492501</v>
      </c>
      <c r="O40" s="148">
        <v>18.6761750750095</v>
      </c>
      <c r="P40" s="148">
        <v>6.3213679492665404</v>
      </c>
      <c r="Q40" s="148">
        <v>13.4476680708673</v>
      </c>
      <c r="R40" s="215">
        <v>4.2107804998529597</v>
      </c>
      <c r="S40" s="148">
        <v>7.5036119378407697</v>
      </c>
      <c r="T40" s="148">
        <v>10.6189635939078</v>
      </c>
      <c r="U40" s="148">
        <v>15.4983264310889</v>
      </c>
      <c r="V40" s="148">
        <v>19.411173402613201</v>
      </c>
      <c r="W40" s="148">
        <v>16.085160908318699</v>
      </c>
      <c r="X40" s="148">
        <v>5.8622887430923996</v>
      </c>
      <c r="Y40" s="149">
        <v>12.2062383401207</v>
      </c>
    </row>
    <row r="41" spans="1:25" x14ac:dyDescent="0.3">
      <c r="A41" s="214" t="s">
        <v>42</v>
      </c>
      <c r="B41" s="147">
        <v>12.766157588136901</v>
      </c>
      <c r="C41" s="148">
        <v>8.9562450580546802</v>
      </c>
      <c r="D41" s="148">
        <v>6.82477896151285</v>
      </c>
      <c r="E41" s="148">
        <v>6.8547305732543</v>
      </c>
      <c r="F41" s="148">
        <v>4.9124788255223004</v>
      </c>
      <c r="G41" s="148">
        <v>2.3559865005033198</v>
      </c>
      <c r="H41" s="148">
        <v>0.93714684723587605</v>
      </c>
      <c r="I41" s="148">
        <v>5.8542747706566001</v>
      </c>
      <c r="J41" s="148">
        <v>8.6402934241551002</v>
      </c>
      <c r="K41" s="148">
        <v>6.1066762392317298</v>
      </c>
      <c r="L41" s="148">
        <v>4.61101865785822</v>
      </c>
      <c r="M41" s="148">
        <v>4.72326999968283</v>
      </c>
      <c r="N41" s="148">
        <v>3.9992889190682099</v>
      </c>
      <c r="O41" s="148">
        <v>1.8842431826419099</v>
      </c>
      <c r="P41" s="148">
        <v>1.19699710995096</v>
      </c>
      <c r="Q41" s="148">
        <v>3.9867032997287102</v>
      </c>
      <c r="R41" s="215">
        <v>10.793725861907401</v>
      </c>
      <c r="S41" s="148">
        <v>7.5854452307306399</v>
      </c>
      <c r="T41" s="148">
        <v>5.7262467736001899</v>
      </c>
      <c r="U41" s="148">
        <v>5.7820149363168802</v>
      </c>
      <c r="V41" s="148">
        <v>4.4462520317393004</v>
      </c>
      <c r="W41" s="148">
        <v>2.1084327713851101</v>
      </c>
      <c r="X41" s="148">
        <v>1.08882004928249</v>
      </c>
      <c r="Y41" s="149">
        <v>4.8929864063785997</v>
      </c>
    </row>
    <row r="42" spans="1:25" x14ac:dyDescent="0.3">
      <c r="A42" s="214" t="s">
        <v>43</v>
      </c>
      <c r="B42" s="147">
        <v>27.639211109052699</v>
      </c>
      <c r="C42" s="148">
        <v>39.722218020685901</v>
      </c>
      <c r="D42" s="148">
        <v>43.281603828954601</v>
      </c>
      <c r="E42" s="148">
        <v>53.041512155876298</v>
      </c>
      <c r="F42" s="148">
        <v>48.987012987013003</v>
      </c>
      <c r="G42" s="148">
        <v>27.347801742206101</v>
      </c>
      <c r="H42" s="148">
        <v>7.2429813520027704</v>
      </c>
      <c r="I42" s="148">
        <v>37.167710831925</v>
      </c>
      <c r="J42" s="148">
        <v>10.7466596803773</v>
      </c>
      <c r="K42" s="148">
        <v>14.532431345892</v>
      </c>
      <c r="L42" s="148">
        <v>21.2076916581882</v>
      </c>
      <c r="M42" s="148">
        <v>32.597408316651702</v>
      </c>
      <c r="N42" s="148">
        <v>39.176575209908499</v>
      </c>
      <c r="O42" s="148">
        <v>29.9705503874337</v>
      </c>
      <c r="P42" s="148">
        <v>10.4890148211396</v>
      </c>
      <c r="Q42" s="148">
        <v>24.220022414491801</v>
      </c>
      <c r="R42" s="215">
        <v>19.563471566836199</v>
      </c>
      <c r="S42" s="148">
        <v>27.604540779116402</v>
      </c>
      <c r="T42" s="148">
        <v>32.327887208093699</v>
      </c>
      <c r="U42" s="148">
        <v>42.7524595956586</v>
      </c>
      <c r="V42" s="148">
        <v>43.978318828108598</v>
      </c>
      <c r="W42" s="148">
        <v>28.724124804097499</v>
      </c>
      <c r="X42" s="148">
        <v>9.1376736454422005</v>
      </c>
      <c r="Y42" s="149">
        <v>30.5031936159967</v>
      </c>
    </row>
    <row r="43" spans="1:25" x14ac:dyDescent="0.3">
      <c r="A43" s="214" t="s">
        <v>44</v>
      </c>
      <c r="B43" s="147">
        <v>21.457703224270698</v>
      </c>
      <c r="C43" s="148">
        <v>20.802431927871201</v>
      </c>
      <c r="D43" s="148">
        <v>18.2534818465009</v>
      </c>
      <c r="E43" s="148">
        <v>19.140072315673599</v>
      </c>
      <c r="F43" s="148">
        <v>19.360813099943499</v>
      </c>
      <c r="G43" s="148">
        <v>12.2021742389705</v>
      </c>
      <c r="H43" s="148">
        <v>6.6794682151027702</v>
      </c>
      <c r="I43" s="148">
        <v>16.8191516777527</v>
      </c>
      <c r="J43" s="148">
        <v>34.980351061042697</v>
      </c>
      <c r="K43" s="148">
        <v>26.999216095796001</v>
      </c>
      <c r="L43" s="148">
        <v>24.671943987501098</v>
      </c>
      <c r="M43" s="148">
        <v>26.888412403991499</v>
      </c>
      <c r="N43" s="148">
        <v>28.512526522084499</v>
      </c>
      <c r="O43" s="148">
        <v>18.726052100432401</v>
      </c>
      <c r="P43" s="148">
        <v>8.9185021896528305</v>
      </c>
      <c r="Q43" s="148">
        <v>23.101786306146199</v>
      </c>
      <c r="R43" s="161">
        <v>27.922409418120701</v>
      </c>
      <c r="S43" s="161">
        <v>23.783427021319898</v>
      </c>
      <c r="T43" s="161">
        <v>21.438509262137298</v>
      </c>
      <c r="U43" s="161">
        <v>23.0396356836793</v>
      </c>
      <c r="V43" s="161">
        <v>24.033197207859899</v>
      </c>
      <c r="W43" s="161">
        <v>15.6256679733133</v>
      </c>
      <c r="X43" s="161">
        <v>7.9863803146435002</v>
      </c>
      <c r="Y43" s="149">
        <v>20.052989664303201</v>
      </c>
    </row>
    <row r="44" spans="1:25" ht="14.5" thickBot="1" x14ac:dyDescent="0.35">
      <c r="A44" s="44" t="s">
        <v>1</v>
      </c>
      <c r="B44" s="150">
        <v>148.49536914832501</v>
      </c>
      <c r="C44" s="151">
        <v>155.76722001435999</v>
      </c>
      <c r="D44" s="151">
        <v>149.74402654880299</v>
      </c>
      <c r="E44" s="151">
        <v>175.19905305307199</v>
      </c>
      <c r="F44" s="151">
        <v>180.246188594015</v>
      </c>
      <c r="G44" s="151">
        <v>120.65098660759401</v>
      </c>
      <c r="H44" s="151">
        <v>64.191496464261306</v>
      </c>
      <c r="I44" s="151">
        <v>145.00275661639299</v>
      </c>
      <c r="J44" s="151">
        <v>199.46554886036199</v>
      </c>
      <c r="K44" s="151">
        <v>145.650650904337</v>
      </c>
      <c r="L44" s="151">
        <v>145.89682216977801</v>
      </c>
      <c r="M44" s="151">
        <v>189.31185606941301</v>
      </c>
      <c r="N44" s="151">
        <v>224.21568357851299</v>
      </c>
      <c r="O44" s="151">
        <v>168.066179054088</v>
      </c>
      <c r="P44" s="151">
        <v>84.300924199721194</v>
      </c>
      <c r="Q44" s="151">
        <v>163.73133309030499</v>
      </c>
      <c r="R44" s="216">
        <v>172.86243397641499</v>
      </c>
      <c r="S44" s="217">
        <v>150.90059208892501</v>
      </c>
      <c r="T44" s="217">
        <v>147.83493194770199</v>
      </c>
      <c r="U44" s="217">
        <v>182.301705883886</v>
      </c>
      <c r="V44" s="217">
        <v>202.69470289098101</v>
      </c>
      <c r="W44" s="217">
        <v>145.532754430399</v>
      </c>
      <c r="X44" s="217">
        <v>75.9292613758427</v>
      </c>
      <c r="Y44" s="152">
        <v>154.642849605668</v>
      </c>
    </row>
    <row r="46" spans="1:25" ht="33.75" customHeight="1" x14ac:dyDescent="0.3">
      <c r="A46" s="478" t="s">
        <v>239</v>
      </c>
      <c r="B46" s="479"/>
      <c r="C46" s="479"/>
      <c r="D46" s="479"/>
      <c r="E46" s="479"/>
      <c r="F46" s="479"/>
      <c r="G46" s="479"/>
      <c r="H46" s="479"/>
      <c r="I46" s="479"/>
      <c r="J46" s="479"/>
      <c r="K46" s="479"/>
    </row>
    <row r="47" spans="1:25" ht="14.5" thickBot="1" x14ac:dyDescent="0.35"/>
    <row r="48" spans="1:25" ht="21" x14ac:dyDescent="0.3">
      <c r="A48" s="112" t="s">
        <v>2</v>
      </c>
      <c r="B48" s="218" t="s">
        <v>160</v>
      </c>
      <c r="C48" s="113" t="s">
        <v>161</v>
      </c>
    </row>
    <row r="49" spans="1:3" x14ac:dyDescent="0.3">
      <c r="A49" s="2" t="s">
        <v>3</v>
      </c>
      <c r="B49" s="3">
        <v>766102</v>
      </c>
      <c r="C49" s="148">
        <v>12.353295923632601</v>
      </c>
    </row>
    <row r="50" spans="1:3" x14ac:dyDescent="0.3">
      <c r="A50" s="2" t="s">
        <v>4</v>
      </c>
      <c r="B50" s="3">
        <v>28962</v>
      </c>
      <c r="C50" s="148">
        <v>14.316361838853201</v>
      </c>
    </row>
    <row r="51" spans="1:3" x14ac:dyDescent="0.3">
      <c r="A51" s="2" t="s">
        <v>5</v>
      </c>
      <c r="B51" s="3">
        <v>1768560</v>
      </c>
      <c r="C51" s="148">
        <v>12.401461338344699</v>
      </c>
    </row>
    <row r="52" spans="1:3" x14ac:dyDescent="0.3">
      <c r="A52" s="2" t="s">
        <v>23</v>
      </c>
      <c r="B52" s="3">
        <v>170232</v>
      </c>
      <c r="C52" s="148">
        <v>14.219178082191799</v>
      </c>
    </row>
    <row r="53" spans="1:3" x14ac:dyDescent="0.3">
      <c r="A53" s="2" t="s">
        <v>24</v>
      </c>
      <c r="B53" s="3">
        <v>47434</v>
      </c>
      <c r="C53" s="148">
        <v>6.7358704913376899</v>
      </c>
    </row>
    <row r="54" spans="1:3" x14ac:dyDescent="0.3">
      <c r="A54" s="2" t="s">
        <v>6</v>
      </c>
      <c r="B54" s="3">
        <v>917977</v>
      </c>
      <c r="C54" s="148">
        <v>15.503749366660999</v>
      </c>
    </row>
    <row r="55" spans="1:3" x14ac:dyDescent="0.3">
      <c r="A55" s="2" t="s">
        <v>22</v>
      </c>
      <c r="B55" s="3">
        <v>425034</v>
      </c>
      <c r="C55" s="148">
        <v>36.340116279069797</v>
      </c>
    </row>
    <row r="56" spans="1:3" x14ac:dyDescent="0.3">
      <c r="A56" s="2" t="s">
        <v>7</v>
      </c>
      <c r="B56" s="3">
        <v>372867</v>
      </c>
      <c r="C56" s="148">
        <v>16.378958928179198</v>
      </c>
    </row>
    <row r="57" spans="1:3" x14ac:dyDescent="0.3">
      <c r="A57" s="2" t="s">
        <v>8</v>
      </c>
      <c r="B57" s="3">
        <v>1439149</v>
      </c>
      <c r="C57" s="148">
        <v>17.495550584745601</v>
      </c>
    </row>
    <row r="58" spans="1:3" x14ac:dyDescent="0.3">
      <c r="A58" s="2" t="s">
        <v>9</v>
      </c>
      <c r="B58" s="3">
        <v>691713</v>
      </c>
      <c r="C58" s="148">
        <v>21.9389450981636</v>
      </c>
    </row>
    <row r="59" spans="1:3" x14ac:dyDescent="0.3">
      <c r="A59" s="2" t="s">
        <v>10</v>
      </c>
      <c r="B59" s="3">
        <v>340893</v>
      </c>
      <c r="C59" s="148">
        <v>23.832005033557</v>
      </c>
    </row>
    <row r="60" spans="1:3" x14ac:dyDescent="0.3">
      <c r="A60" s="2" t="s">
        <v>11</v>
      </c>
      <c r="B60" s="3">
        <v>329461</v>
      </c>
      <c r="C60" s="148">
        <v>22.349976256699001</v>
      </c>
    </row>
    <row r="61" spans="1:3" x14ac:dyDescent="0.3">
      <c r="A61" s="2" t="s">
        <v>12</v>
      </c>
      <c r="B61" s="3">
        <v>585753</v>
      </c>
      <c r="C61" s="148">
        <v>10.403768960250099</v>
      </c>
    </row>
    <row r="62" spans="1:3" x14ac:dyDescent="0.3">
      <c r="A62" s="2" t="s">
        <v>13</v>
      </c>
      <c r="B62" s="3"/>
      <c r="C62" s="148"/>
    </row>
    <row r="63" spans="1:3" x14ac:dyDescent="0.3">
      <c r="A63" s="2" t="s">
        <v>14</v>
      </c>
      <c r="B63" s="3">
        <v>661</v>
      </c>
      <c r="C63" s="148">
        <v>4.3774834437086101</v>
      </c>
    </row>
    <row r="64" spans="1:3" x14ac:dyDescent="0.3">
      <c r="A64" s="2" t="s">
        <v>15</v>
      </c>
      <c r="B64" s="3">
        <v>504666</v>
      </c>
      <c r="C64" s="148">
        <v>8.8837135614702198</v>
      </c>
    </row>
    <row r="65" spans="1:3" x14ac:dyDescent="0.3">
      <c r="A65" s="2" t="s">
        <v>16</v>
      </c>
      <c r="B65" s="3">
        <v>555605</v>
      </c>
      <c r="C65" s="148">
        <v>10.032411837994999</v>
      </c>
    </row>
    <row r="66" spans="1:3" x14ac:dyDescent="0.3">
      <c r="A66" s="2" t="s">
        <v>17</v>
      </c>
      <c r="B66" s="192">
        <v>75901</v>
      </c>
      <c r="C66" s="219">
        <v>10.676747784498501</v>
      </c>
    </row>
    <row r="67" spans="1:3" x14ac:dyDescent="0.3">
      <c r="A67" s="2" t="s">
        <v>18</v>
      </c>
      <c r="B67" s="3">
        <v>294823</v>
      </c>
      <c r="C67" s="148">
        <v>9.9340588988476295</v>
      </c>
    </row>
    <row r="68" spans="1:3" x14ac:dyDescent="0.3">
      <c r="A68" s="2" t="s">
        <v>19</v>
      </c>
      <c r="B68" s="3">
        <v>458528</v>
      </c>
      <c r="C68" s="148">
        <v>8.8951656708310693</v>
      </c>
    </row>
    <row r="69" spans="1:3" x14ac:dyDescent="0.3">
      <c r="A69" s="2" t="s">
        <v>20</v>
      </c>
      <c r="B69" s="3">
        <v>286679</v>
      </c>
      <c r="C69" s="148">
        <v>14.684167392306501</v>
      </c>
    </row>
    <row r="70" spans="1:3" ht="14.5" thickBot="1" x14ac:dyDescent="0.35">
      <c r="A70" s="4" t="s">
        <v>1</v>
      </c>
      <c r="B70" s="220">
        <v>10061000</v>
      </c>
      <c r="C70" s="154">
        <v>13.6205180968369</v>
      </c>
    </row>
  </sheetData>
  <mergeCells count="21">
    <mergeCell ref="A1:K1"/>
    <mergeCell ref="A27:K27"/>
    <mergeCell ref="A46:K46"/>
    <mergeCell ref="A29:A32"/>
    <mergeCell ref="B29:Q29"/>
    <mergeCell ref="B30:H30"/>
    <mergeCell ref="I30:I32"/>
    <mergeCell ref="J30:P30"/>
    <mergeCell ref="Q30:Q32"/>
    <mergeCell ref="B31:H31"/>
    <mergeCell ref="J31:P31"/>
    <mergeCell ref="Y29:Y32"/>
    <mergeCell ref="R30:X30"/>
    <mergeCell ref="R31:R32"/>
    <mergeCell ref="S31:S32"/>
    <mergeCell ref="T31:T32"/>
    <mergeCell ref="U31:U32"/>
    <mergeCell ref="V31:V32"/>
    <mergeCell ref="W31:W32"/>
    <mergeCell ref="X31:X32"/>
    <mergeCell ref="R29:X29"/>
  </mergeCells>
  <hyperlinks>
    <hyperlink ref="A49" r:id="rId1" xr:uid="{00000000-0004-0000-0300-000000000000}"/>
    <hyperlink ref="A51" r:id="rId2" xr:uid="{00000000-0004-0000-0300-000001000000}"/>
    <hyperlink ref="A53" r:id="rId3" display="PROV. AUTON. TRENTO" xr:uid="{00000000-0004-0000-0300-000002000000}"/>
    <hyperlink ref="A54" r:id="rId4" xr:uid="{00000000-0004-0000-0300-000003000000}"/>
    <hyperlink ref="A55" r:id="rId5" xr:uid="{00000000-0004-0000-0300-000004000000}"/>
    <hyperlink ref="A56" r:id="rId6" xr:uid="{00000000-0004-0000-0300-000005000000}"/>
    <hyperlink ref="A57" r:id="rId7" xr:uid="{00000000-0004-0000-0300-000006000000}"/>
    <hyperlink ref="A58" r:id="rId8" xr:uid="{00000000-0004-0000-0300-000007000000}"/>
    <hyperlink ref="A59" r:id="rId9" xr:uid="{00000000-0004-0000-0300-000008000000}"/>
    <hyperlink ref="A60" r:id="rId10" xr:uid="{00000000-0004-0000-0300-000009000000}"/>
    <hyperlink ref="A61" r:id="rId11" xr:uid="{00000000-0004-0000-0300-00000A000000}"/>
    <hyperlink ref="A62" r:id="rId12" xr:uid="{00000000-0004-0000-0300-00000B000000}"/>
    <hyperlink ref="A63" r:id="rId13" xr:uid="{00000000-0004-0000-0300-00000C000000}"/>
    <hyperlink ref="A64" r:id="rId14" xr:uid="{00000000-0004-0000-0300-00000D000000}"/>
    <hyperlink ref="A65" r:id="rId15" xr:uid="{00000000-0004-0000-0300-00000E000000}"/>
    <hyperlink ref="A66" r:id="rId16" xr:uid="{00000000-0004-0000-0300-00000F000000}"/>
    <hyperlink ref="A67" r:id="rId17" xr:uid="{00000000-0004-0000-0300-000010000000}"/>
    <hyperlink ref="A68" r:id="rId18" xr:uid="{00000000-0004-0000-0300-000011000000}"/>
  </hyperlinks>
  <pageMargins left="0.7" right="0.7" top="0.75" bottom="0.75" header="0.3" footer="0.3"/>
  <pageSetup paperSize="9" orientation="portrait" r:id="rId1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20"/>
  <sheetViews>
    <sheetView topLeftCell="A163" zoomScale="80" zoomScaleNormal="80" workbookViewId="0">
      <selection activeCell="P191" sqref="P191"/>
    </sheetView>
  </sheetViews>
  <sheetFormatPr defaultColWidth="8.83203125" defaultRowHeight="14" x14ac:dyDescent="0.3"/>
  <cols>
    <col min="1" max="1" width="21.5" customWidth="1"/>
    <col min="2" max="2" width="13" customWidth="1"/>
    <col min="3" max="3" width="9.1640625" bestFit="1" customWidth="1"/>
    <col min="4" max="4" width="9.83203125" bestFit="1" customWidth="1"/>
    <col min="5" max="5" width="10.5" customWidth="1"/>
    <col min="6" max="6" width="10.6640625" customWidth="1"/>
    <col min="7" max="7" width="9.1640625" bestFit="1" customWidth="1"/>
    <col min="8" max="9" width="10.1640625" customWidth="1"/>
    <col min="10" max="10" width="9.83203125" bestFit="1" customWidth="1"/>
    <col min="11" max="11" width="9.33203125" customWidth="1"/>
    <col min="12" max="12" width="11.1640625" bestFit="1" customWidth="1"/>
    <col min="13" max="13" width="10.6640625" customWidth="1"/>
    <col min="14" max="14" width="11.1640625" bestFit="1" customWidth="1"/>
    <col min="15" max="15" width="10.1640625" bestFit="1" customWidth="1"/>
    <col min="17" max="17" width="10.6640625" customWidth="1"/>
  </cols>
  <sheetData>
    <row r="1" spans="1:17" ht="30.75" customHeight="1" x14ac:dyDescent="0.3">
      <c r="A1" s="478" t="s">
        <v>240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</row>
    <row r="2" spans="1:17" ht="14.5" thickBot="1" x14ac:dyDescent="0.35"/>
    <row r="3" spans="1:17" ht="14.25" customHeight="1" thickBot="1" x14ac:dyDescent="0.35">
      <c r="A3" s="615" t="s">
        <v>2</v>
      </c>
      <c r="B3" s="622" t="s">
        <v>63</v>
      </c>
      <c r="C3" s="623"/>
      <c r="D3" s="623"/>
      <c r="E3" s="623"/>
      <c r="F3" s="623"/>
      <c r="G3" s="623"/>
      <c r="H3" s="623"/>
      <c r="I3" s="623"/>
      <c r="J3" s="623"/>
      <c r="K3" s="623"/>
      <c r="L3" s="623"/>
      <c r="M3" s="623"/>
      <c r="N3" s="623"/>
      <c r="O3" s="624"/>
      <c r="P3" s="444"/>
      <c r="Q3" s="444"/>
    </row>
    <row r="4" spans="1:17" ht="102.5" customHeight="1" x14ac:dyDescent="0.3">
      <c r="A4" s="616"/>
      <c r="B4" s="617" t="s">
        <v>55</v>
      </c>
      <c r="C4" s="618"/>
      <c r="D4" s="619" t="s">
        <v>56</v>
      </c>
      <c r="E4" s="620"/>
      <c r="F4" s="619" t="s">
        <v>57</v>
      </c>
      <c r="G4" s="620"/>
      <c r="H4" s="619" t="s">
        <v>58</v>
      </c>
      <c r="I4" s="620"/>
      <c r="J4" s="619" t="s">
        <v>59</v>
      </c>
      <c r="K4" s="620"/>
      <c r="L4" s="619" t="s">
        <v>60</v>
      </c>
      <c r="M4" s="620"/>
      <c r="N4" s="617" t="s">
        <v>0</v>
      </c>
      <c r="O4" s="621"/>
    </row>
    <row r="5" spans="1:17" ht="31.5" x14ac:dyDescent="0.3">
      <c r="A5" s="616"/>
      <c r="B5" s="445" t="s">
        <v>53</v>
      </c>
      <c r="C5" s="445" t="s">
        <v>54</v>
      </c>
      <c r="D5" s="445" t="s">
        <v>53</v>
      </c>
      <c r="E5" s="445" t="s">
        <v>54</v>
      </c>
      <c r="F5" s="445" t="s">
        <v>53</v>
      </c>
      <c r="G5" s="445" t="s">
        <v>54</v>
      </c>
      <c r="H5" s="445" t="s">
        <v>53</v>
      </c>
      <c r="I5" s="445" t="s">
        <v>54</v>
      </c>
      <c r="J5" s="445" t="s">
        <v>53</v>
      </c>
      <c r="K5" s="445" t="s">
        <v>54</v>
      </c>
      <c r="L5" s="445" t="s">
        <v>53</v>
      </c>
      <c r="M5" s="445" t="s">
        <v>54</v>
      </c>
      <c r="N5" s="445" t="s">
        <v>53</v>
      </c>
      <c r="O5" s="446" t="s">
        <v>54</v>
      </c>
    </row>
    <row r="6" spans="1:17" x14ac:dyDescent="0.3">
      <c r="A6" s="447" t="s">
        <v>3</v>
      </c>
      <c r="B6" s="448">
        <v>3</v>
      </c>
      <c r="C6" s="449">
        <v>8.1404565222287402E-3</v>
      </c>
      <c r="D6" s="450">
        <v>148</v>
      </c>
      <c r="E6" s="449">
        <v>0.40159585509661799</v>
      </c>
      <c r="F6" s="448">
        <v>944</v>
      </c>
      <c r="G6" s="449">
        <v>2.5615303189946399</v>
      </c>
      <c r="H6" s="448">
        <v>253</v>
      </c>
      <c r="I6" s="449">
        <v>0.68651183337462396</v>
      </c>
      <c r="J6" s="448">
        <v>234</v>
      </c>
      <c r="K6" s="449">
        <v>0.63495560873384205</v>
      </c>
      <c r="L6" s="448">
        <v>669</v>
      </c>
      <c r="M6" s="449">
        <v>1.8153218044570101</v>
      </c>
      <c r="N6" s="451">
        <v>2251</v>
      </c>
      <c r="O6" s="452">
        <v>6.1080558771789599</v>
      </c>
    </row>
    <row r="7" spans="1:17" x14ac:dyDescent="0.3">
      <c r="A7" s="447" t="s">
        <v>4</v>
      </c>
      <c r="B7" s="448"/>
      <c r="C7" s="449"/>
      <c r="D7" s="450">
        <v>16</v>
      </c>
      <c r="E7" s="449">
        <v>1.5105312349536899</v>
      </c>
      <c r="F7" s="448">
        <v>19</v>
      </c>
      <c r="G7" s="449">
        <v>1.7937558415075101</v>
      </c>
      <c r="H7" s="448"/>
      <c r="I7" s="449"/>
      <c r="J7" s="448">
        <v>24</v>
      </c>
      <c r="K7" s="449">
        <v>2.2657968524305399</v>
      </c>
      <c r="L7" s="448">
        <v>36</v>
      </c>
      <c r="M7" s="449">
        <v>3.39869527864581</v>
      </c>
      <c r="N7" s="451">
        <v>95</v>
      </c>
      <c r="O7" s="452">
        <v>8.9687792075375494</v>
      </c>
    </row>
    <row r="8" spans="1:17" x14ac:dyDescent="0.3">
      <c r="A8" s="447" t="s">
        <v>5</v>
      </c>
      <c r="B8" s="448">
        <v>0</v>
      </c>
      <c r="C8" s="449">
        <v>0</v>
      </c>
      <c r="D8" s="450"/>
      <c r="E8" s="449"/>
      <c r="F8" s="448"/>
      <c r="G8" s="449"/>
      <c r="H8" s="448">
        <v>9</v>
      </c>
      <c r="I8" s="449">
        <v>1.0515426481162099E-2</v>
      </c>
      <c r="J8" s="448">
        <v>1789</v>
      </c>
      <c r="K8" s="449">
        <v>2.0902331083110002</v>
      </c>
      <c r="L8" s="448">
        <v>4392</v>
      </c>
      <c r="M8" s="449">
        <v>5.1315281228070901</v>
      </c>
      <c r="N8" s="451">
        <v>6190</v>
      </c>
      <c r="O8" s="452">
        <v>7.2322766575992503</v>
      </c>
    </row>
    <row r="9" spans="1:17" x14ac:dyDescent="0.3">
      <c r="A9" s="447" t="s">
        <v>23</v>
      </c>
      <c r="B9" s="448"/>
      <c r="C9" s="449"/>
      <c r="D9" s="450">
        <v>160</v>
      </c>
      <c r="E9" s="449">
        <v>3.5999226016640602</v>
      </c>
      <c r="F9" s="448">
        <v>95</v>
      </c>
      <c r="G9" s="449">
        <v>2.1374540447380399</v>
      </c>
      <c r="H9" s="448"/>
      <c r="I9" s="449"/>
      <c r="J9" s="448"/>
      <c r="K9" s="449"/>
      <c r="L9" s="448">
        <v>30</v>
      </c>
      <c r="M9" s="449">
        <v>0.67498548781201195</v>
      </c>
      <c r="N9" s="451">
        <v>285</v>
      </c>
      <c r="O9" s="452">
        <v>6.4123621342141099</v>
      </c>
    </row>
    <row r="10" spans="1:17" x14ac:dyDescent="0.3">
      <c r="A10" s="447" t="s">
        <v>24</v>
      </c>
      <c r="B10" s="448"/>
      <c r="C10" s="449"/>
      <c r="D10" s="450"/>
      <c r="E10" s="449"/>
      <c r="F10" s="448"/>
      <c r="G10" s="449"/>
      <c r="H10" s="448">
        <v>59</v>
      </c>
      <c r="I10" s="449">
        <v>1.27663625820077</v>
      </c>
      <c r="J10" s="448">
        <v>94</v>
      </c>
      <c r="K10" s="449">
        <v>2.0339628520486799</v>
      </c>
      <c r="L10" s="448"/>
      <c r="M10" s="449"/>
      <c r="N10" s="451">
        <v>153</v>
      </c>
      <c r="O10" s="452">
        <v>3.3105991102494401</v>
      </c>
    </row>
    <row r="11" spans="1:17" x14ac:dyDescent="0.3">
      <c r="A11" s="447" t="s">
        <v>6</v>
      </c>
      <c r="B11" s="448">
        <v>242</v>
      </c>
      <c r="C11" s="449">
        <v>0.58011147728983403</v>
      </c>
      <c r="D11" s="450">
        <v>608</v>
      </c>
      <c r="E11" s="449">
        <v>1.4574701578190901</v>
      </c>
      <c r="F11" s="448">
        <v>318</v>
      </c>
      <c r="G11" s="449">
        <v>0.76229524701721996</v>
      </c>
      <c r="H11" s="448">
        <v>552</v>
      </c>
      <c r="I11" s="449">
        <v>1.3232294853883799</v>
      </c>
      <c r="J11" s="448">
        <v>172</v>
      </c>
      <c r="K11" s="449">
        <v>0.41231063675145202</v>
      </c>
      <c r="L11" s="448">
        <v>272</v>
      </c>
      <c r="M11" s="449">
        <v>0.65202612323485498</v>
      </c>
      <c r="N11" s="451">
        <v>2164</v>
      </c>
      <c r="O11" s="452">
        <v>5.1874431275008304</v>
      </c>
    </row>
    <row r="12" spans="1:17" x14ac:dyDescent="0.3">
      <c r="A12" s="447" t="s">
        <v>22</v>
      </c>
      <c r="B12" s="448"/>
      <c r="C12" s="449"/>
      <c r="D12" s="450"/>
      <c r="E12" s="449"/>
      <c r="F12" s="448"/>
      <c r="G12" s="449"/>
      <c r="H12" s="448"/>
      <c r="I12" s="449"/>
      <c r="J12" s="448"/>
      <c r="K12" s="449"/>
      <c r="L12" s="448">
        <v>173</v>
      </c>
      <c r="M12" s="449">
        <v>1.99918876848816</v>
      </c>
      <c r="N12" s="451">
        <v>173</v>
      </c>
      <c r="O12" s="452">
        <v>1.99918876848816</v>
      </c>
    </row>
    <row r="13" spans="1:17" x14ac:dyDescent="0.3">
      <c r="A13" s="447" t="s">
        <v>7</v>
      </c>
      <c r="B13" s="448"/>
      <c r="C13" s="449"/>
      <c r="D13" s="450">
        <v>274</v>
      </c>
      <c r="E13" s="449">
        <v>3.2946591651045098</v>
      </c>
      <c r="F13" s="448">
        <v>266</v>
      </c>
      <c r="G13" s="449">
        <v>3.19846473692628</v>
      </c>
      <c r="H13" s="448">
        <v>67</v>
      </c>
      <c r="I13" s="449">
        <v>0.805628335992708</v>
      </c>
      <c r="J13" s="448">
        <v>7</v>
      </c>
      <c r="K13" s="449">
        <v>8.4170124655954595E-2</v>
      </c>
      <c r="L13" s="448">
        <v>274</v>
      </c>
      <c r="M13" s="449">
        <v>3.2946591651045098</v>
      </c>
      <c r="N13" s="451">
        <v>888</v>
      </c>
      <c r="O13" s="452">
        <v>10.677581527784</v>
      </c>
    </row>
    <row r="14" spans="1:17" x14ac:dyDescent="0.3">
      <c r="A14" s="447" t="s">
        <v>8</v>
      </c>
      <c r="B14" s="448"/>
      <c r="C14" s="449"/>
      <c r="D14" s="450">
        <v>1847</v>
      </c>
      <c r="E14" s="449">
        <v>4.8244458090924702</v>
      </c>
      <c r="F14" s="448">
        <v>667</v>
      </c>
      <c r="G14" s="449">
        <v>1.7422335434026399</v>
      </c>
      <c r="H14" s="448"/>
      <c r="I14" s="449"/>
      <c r="J14" s="448"/>
      <c r="K14" s="449"/>
      <c r="L14" s="448">
        <v>785</v>
      </c>
      <c r="M14" s="449">
        <v>2.0504547699716298</v>
      </c>
      <c r="N14" s="451">
        <v>3299</v>
      </c>
      <c r="O14" s="452">
        <v>8.6171341224667408</v>
      </c>
    </row>
    <row r="15" spans="1:17" x14ac:dyDescent="0.3">
      <c r="A15" s="447" t="s">
        <v>9</v>
      </c>
      <c r="B15" s="448">
        <v>337</v>
      </c>
      <c r="C15" s="449">
        <v>1.0605985741400901</v>
      </c>
      <c r="D15" s="450"/>
      <c r="E15" s="449"/>
      <c r="F15" s="448"/>
      <c r="G15" s="449"/>
      <c r="H15" s="448">
        <v>28</v>
      </c>
      <c r="I15" s="449">
        <v>8.8120949780185406E-2</v>
      </c>
      <c r="J15" s="448">
        <v>62</v>
      </c>
      <c r="K15" s="449">
        <v>0.19512496022755299</v>
      </c>
      <c r="L15" s="448">
        <v>803</v>
      </c>
      <c r="M15" s="449">
        <v>2.5271829526245999</v>
      </c>
      <c r="N15" s="451">
        <v>1230</v>
      </c>
      <c r="O15" s="452">
        <v>3.87102743677243</v>
      </c>
    </row>
    <row r="16" spans="1:17" x14ac:dyDescent="0.3">
      <c r="A16" s="447" t="s">
        <v>10</v>
      </c>
      <c r="B16" s="448"/>
      <c r="C16" s="449"/>
      <c r="D16" s="450"/>
      <c r="E16" s="449"/>
      <c r="F16" s="448"/>
      <c r="G16" s="449"/>
      <c r="H16" s="448">
        <v>61</v>
      </c>
      <c r="I16" s="449">
        <v>0.82457392508002403</v>
      </c>
      <c r="J16" s="448">
        <v>190</v>
      </c>
      <c r="K16" s="449">
        <v>2.5683450125443401</v>
      </c>
      <c r="L16" s="448">
        <v>428</v>
      </c>
      <c r="M16" s="449">
        <v>5.7855350808893498</v>
      </c>
      <c r="N16" s="451">
        <v>679</v>
      </c>
      <c r="O16" s="452">
        <v>9.17845401851371</v>
      </c>
    </row>
    <row r="17" spans="1:25" x14ac:dyDescent="0.3">
      <c r="A17" s="447" t="s">
        <v>11</v>
      </c>
      <c r="B17" s="448"/>
      <c r="C17" s="449"/>
      <c r="D17" s="450">
        <v>751</v>
      </c>
      <c r="E17" s="449">
        <v>5.8554126311620198</v>
      </c>
      <c r="F17" s="448">
        <v>321</v>
      </c>
      <c r="G17" s="449">
        <v>2.5027795667150601</v>
      </c>
      <c r="H17" s="448">
        <v>92</v>
      </c>
      <c r="I17" s="449">
        <v>0.71730753937004799</v>
      </c>
      <c r="J17" s="448">
        <v>0</v>
      </c>
      <c r="K17" s="449">
        <v>0</v>
      </c>
      <c r="L17" s="448">
        <v>310</v>
      </c>
      <c r="M17" s="449">
        <v>2.4170145348338599</v>
      </c>
      <c r="N17" s="451">
        <v>1474</v>
      </c>
      <c r="O17" s="452">
        <v>11.492514272080999</v>
      </c>
    </row>
    <row r="18" spans="1:25" x14ac:dyDescent="0.3">
      <c r="A18" s="447" t="s">
        <v>12</v>
      </c>
      <c r="B18" s="448"/>
      <c r="C18" s="449"/>
      <c r="D18" s="448">
        <v>3088</v>
      </c>
      <c r="E18" s="449">
        <v>6.2994888805249296</v>
      </c>
      <c r="F18" s="448">
        <v>1123</v>
      </c>
      <c r="G18" s="449">
        <v>2.2909086829111098</v>
      </c>
      <c r="H18" s="448">
        <v>63</v>
      </c>
      <c r="I18" s="449">
        <v>0.12851936511433601</v>
      </c>
      <c r="J18" s="448">
        <v>135</v>
      </c>
      <c r="K18" s="449">
        <v>0.27539863953072102</v>
      </c>
      <c r="L18" s="448">
        <v>649</v>
      </c>
      <c r="M18" s="449">
        <v>1.3239534596699101</v>
      </c>
      <c r="N18" s="451">
        <v>5058</v>
      </c>
      <c r="O18" s="452">
        <v>10.318269027751001</v>
      </c>
    </row>
    <row r="19" spans="1:25" x14ac:dyDescent="0.3">
      <c r="A19" s="447" t="s">
        <v>13</v>
      </c>
      <c r="B19" s="448"/>
      <c r="C19" s="449"/>
      <c r="D19" s="448"/>
      <c r="E19" s="449"/>
      <c r="F19" s="448"/>
      <c r="G19" s="449"/>
      <c r="H19" s="448"/>
      <c r="I19" s="449"/>
      <c r="J19" s="448"/>
      <c r="K19" s="449"/>
      <c r="L19" s="448"/>
      <c r="M19" s="449"/>
      <c r="N19" s="451"/>
      <c r="O19" s="452"/>
    </row>
    <row r="20" spans="1:25" x14ac:dyDescent="0.3">
      <c r="A20" s="447" t="s">
        <v>14</v>
      </c>
      <c r="B20" s="448">
        <v>0</v>
      </c>
      <c r="C20" s="449">
        <v>0</v>
      </c>
      <c r="D20" s="448"/>
      <c r="E20" s="449"/>
      <c r="F20" s="448"/>
      <c r="G20" s="449"/>
      <c r="H20" s="448"/>
      <c r="I20" s="449"/>
      <c r="J20" s="448"/>
      <c r="K20" s="449"/>
      <c r="L20" s="448">
        <v>5</v>
      </c>
      <c r="M20" s="449">
        <v>0.197179543805407</v>
      </c>
      <c r="N20" s="451">
        <v>5</v>
      </c>
      <c r="O20" s="452">
        <v>0.197179543805407</v>
      </c>
    </row>
    <row r="21" spans="1:25" x14ac:dyDescent="0.3">
      <c r="A21" s="447" t="s">
        <v>15</v>
      </c>
      <c r="B21" s="448">
        <v>1</v>
      </c>
      <c r="C21" s="449">
        <v>2.5363882946694799E-3</v>
      </c>
      <c r="D21" s="448"/>
      <c r="E21" s="449"/>
      <c r="F21" s="448"/>
      <c r="G21" s="449"/>
      <c r="H21" s="448">
        <v>12</v>
      </c>
      <c r="I21" s="449">
        <v>3.0436659536033701E-2</v>
      </c>
      <c r="J21" s="448">
        <v>17</v>
      </c>
      <c r="K21" s="449">
        <v>4.31186010093811E-2</v>
      </c>
      <c r="L21" s="448">
        <v>355</v>
      </c>
      <c r="M21" s="449">
        <v>0.90041784460766405</v>
      </c>
      <c r="N21" s="451">
        <v>385</v>
      </c>
      <c r="O21" s="452">
        <v>0.97650949344774796</v>
      </c>
    </row>
    <row r="22" spans="1:25" x14ac:dyDescent="0.3">
      <c r="A22" s="447" t="s">
        <v>16</v>
      </c>
      <c r="B22" s="448"/>
      <c r="C22" s="449"/>
      <c r="D22" s="448">
        <v>1249</v>
      </c>
      <c r="E22" s="449">
        <v>3.73484680848519</v>
      </c>
      <c r="F22" s="448">
        <v>510</v>
      </c>
      <c r="G22" s="449">
        <v>1.5250375278842601</v>
      </c>
      <c r="H22" s="448"/>
      <c r="I22" s="449"/>
      <c r="J22" s="448"/>
      <c r="K22" s="449"/>
      <c r="L22" s="448">
        <v>364</v>
      </c>
      <c r="M22" s="449">
        <v>1.0884581571566101</v>
      </c>
      <c r="N22" s="451">
        <v>2123</v>
      </c>
      <c r="O22" s="452">
        <v>6.3483424935260704</v>
      </c>
    </row>
    <row r="23" spans="1:25" x14ac:dyDescent="0.3">
      <c r="A23" s="447" t="s">
        <v>17</v>
      </c>
      <c r="B23" s="448"/>
      <c r="C23" s="449"/>
      <c r="D23" s="448">
        <v>10</v>
      </c>
      <c r="E23" s="449">
        <v>0.21529637699256801</v>
      </c>
      <c r="F23" s="448"/>
      <c r="G23" s="449"/>
      <c r="H23" s="448"/>
      <c r="I23" s="449"/>
      <c r="J23" s="448"/>
      <c r="K23" s="449"/>
      <c r="L23" s="448">
        <v>314</v>
      </c>
      <c r="M23" s="449">
        <v>6.7603062375666303</v>
      </c>
      <c r="N23" s="451">
        <v>324</v>
      </c>
      <c r="O23" s="452">
        <v>6.9756026145592003</v>
      </c>
    </row>
    <row r="24" spans="1:25" x14ac:dyDescent="0.3">
      <c r="A24" s="447" t="s">
        <v>18</v>
      </c>
      <c r="B24" s="448"/>
      <c r="C24" s="449"/>
      <c r="D24" s="448"/>
      <c r="E24" s="449"/>
      <c r="F24" s="448"/>
      <c r="G24" s="449"/>
      <c r="H24" s="448"/>
      <c r="I24" s="449"/>
      <c r="J24" s="448">
        <v>21</v>
      </c>
      <c r="K24" s="449">
        <v>0.13377398057856599</v>
      </c>
      <c r="L24" s="448">
        <v>51</v>
      </c>
      <c r="M24" s="449">
        <v>0.32487966711937499</v>
      </c>
      <c r="N24" s="451">
        <v>72</v>
      </c>
      <c r="O24" s="452">
        <v>0.45865364769794098</v>
      </c>
    </row>
    <row r="25" spans="1:25" x14ac:dyDescent="0.3">
      <c r="A25" s="447" t="s">
        <v>19</v>
      </c>
      <c r="B25" s="448"/>
      <c r="C25" s="449"/>
      <c r="D25" s="448"/>
      <c r="E25" s="449"/>
      <c r="F25" s="448"/>
      <c r="G25" s="449"/>
      <c r="H25" s="448"/>
      <c r="I25" s="449"/>
      <c r="J25" s="448"/>
      <c r="K25" s="449"/>
      <c r="L25" s="448">
        <v>2410</v>
      </c>
      <c r="M25" s="449">
        <v>5.9196625644960799</v>
      </c>
      <c r="N25" s="451">
        <v>2410</v>
      </c>
      <c r="O25" s="452">
        <v>5.9196625644960799</v>
      </c>
    </row>
    <row r="26" spans="1:25" x14ac:dyDescent="0.3">
      <c r="A26" s="447" t="s">
        <v>20</v>
      </c>
      <c r="B26" s="448"/>
      <c r="C26" s="449"/>
      <c r="D26" s="448"/>
      <c r="E26" s="449"/>
      <c r="F26" s="448"/>
      <c r="G26" s="449"/>
      <c r="H26" s="448"/>
      <c r="I26" s="449"/>
      <c r="J26" s="448"/>
      <c r="K26" s="449"/>
      <c r="L26" s="448"/>
      <c r="M26" s="449"/>
      <c r="N26" s="451">
        <v>0</v>
      </c>
      <c r="O26" s="452">
        <v>0</v>
      </c>
    </row>
    <row r="27" spans="1:25" ht="14.5" thickBot="1" x14ac:dyDescent="0.35">
      <c r="A27" s="453" t="s">
        <v>1</v>
      </c>
      <c r="B27" s="454">
        <v>583</v>
      </c>
      <c r="C27" s="455">
        <v>0.11853282950713601</v>
      </c>
      <c r="D27" s="454">
        <v>8151</v>
      </c>
      <c r="E27" s="455">
        <v>1.6572231446186301</v>
      </c>
      <c r="F27" s="454">
        <v>4263</v>
      </c>
      <c r="G27" s="455">
        <v>0.866733194149089</v>
      </c>
      <c r="H27" s="454">
        <v>1196</v>
      </c>
      <c r="I27" s="455">
        <v>0.24316511850863501</v>
      </c>
      <c r="J27" s="454">
        <v>2745</v>
      </c>
      <c r="K27" s="455">
        <v>0.55810054373428397</v>
      </c>
      <c r="L27" s="454">
        <v>12320</v>
      </c>
      <c r="M27" s="455">
        <v>2.5048446990187099</v>
      </c>
      <c r="N27" s="454">
        <v>29258</v>
      </c>
      <c r="O27" s="456">
        <v>5.94859952953649</v>
      </c>
    </row>
    <row r="30" spans="1:25" ht="32.25" customHeight="1" x14ac:dyDescent="0.3">
      <c r="A30" s="478" t="s">
        <v>241</v>
      </c>
      <c r="B30" s="479"/>
      <c r="C30" s="479"/>
      <c r="D30" s="479"/>
      <c r="E30" s="479"/>
      <c r="F30" s="479"/>
      <c r="G30" s="479"/>
      <c r="H30" s="479"/>
      <c r="I30" s="479"/>
      <c r="J30" s="479"/>
      <c r="K30" s="479"/>
    </row>
    <row r="31" spans="1:25" ht="14.5" thickBot="1" x14ac:dyDescent="0.35"/>
    <row r="32" spans="1:25" x14ac:dyDescent="0.3">
      <c r="A32" s="583" t="s">
        <v>69</v>
      </c>
      <c r="B32" s="607" t="s">
        <v>78</v>
      </c>
      <c r="C32" s="608"/>
      <c r="D32" s="608"/>
      <c r="E32" s="608"/>
      <c r="F32" s="608"/>
      <c r="G32" s="608"/>
      <c r="H32" s="608"/>
      <c r="I32" s="608"/>
      <c r="J32" s="608"/>
      <c r="K32" s="608"/>
      <c r="L32" s="608"/>
      <c r="M32" s="608"/>
      <c r="N32" s="608"/>
      <c r="O32" s="608"/>
      <c r="P32" s="608"/>
      <c r="Q32" s="608"/>
      <c r="R32" s="608"/>
      <c r="S32" s="608"/>
      <c r="T32" s="608"/>
      <c r="U32" s="608"/>
      <c r="V32" s="608"/>
      <c r="W32" s="608"/>
      <c r="X32" s="608"/>
      <c r="Y32" s="608"/>
    </row>
    <row r="33" spans="1:25" ht="14.25" customHeight="1" x14ac:dyDescent="0.3">
      <c r="A33" s="584"/>
      <c r="B33" s="606" t="s">
        <v>25</v>
      </c>
      <c r="C33" s="574"/>
      <c r="D33" s="574"/>
      <c r="E33" s="574"/>
      <c r="F33" s="574"/>
      <c r="G33" s="574"/>
      <c r="H33" s="574"/>
      <c r="I33" s="605" t="s">
        <v>46</v>
      </c>
      <c r="J33" s="606" t="s">
        <v>26</v>
      </c>
      <c r="K33" s="574"/>
      <c r="L33" s="574"/>
      <c r="M33" s="574"/>
      <c r="N33" s="574"/>
      <c r="O33" s="574"/>
      <c r="P33" s="574"/>
      <c r="Q33" s="605" t="s">
        <v>47</v>
      </c>
      <c r="R33" s="609" t="s">
        <v>21</v>
      </c>
      <c r="S33" s="610"/>
      <c r="T33" s="610"/>
      <c r="U33" s="610"/>
      <c r="V33" s="610"/>
      <c r="W33" s="610"/>
      <c r="X33" s="611"/>
      <c r="Y33" s="612" t="s">
        <v>21</v>
      </c>
    </row>
    <row r="34" spans="1:25" x14ac:dyDescent="0.3">
      <c r="A34" s="584"/>
      <c r="B34" s="606" t="s">
        <v>48</v>
      </c>
      <c r="C34" s="574"/>
      <c r="D34" s="574"/>
      <c r="E34" s="574"/>
      <c r="F34" s="574"/>
      <c r="G34" s="574"/>
      <c r="H34" s="574"/>
      <c r="I34" s="605"/>
      <c r="J34" s="606" t="s">
        <v>48</v>
      </c>
      <c r="K34" s="574"/>
      <c r="L34" s="574"/>
      <c r="M34" s="574"/>
      <c r="N34" s="574"/>
      <c r="O34" s="574"/>
      <c r="P34" s="574"/>
      <c r="Q34" s="605"/>
      <c r="R34" s="609" t="s">
        <v>48</v>
      </c>
      <c r="S34" s="610"/>
      <c r="T34" s="610"/>
      <c r="U34" s="610"/>
      <c r="V34" s="610"/>
      <c r="W34" s="610"/>
      <c r="X34" s="611"/>
      <c r="Y34" s="613"/>
    </row>
    <row r="35" spans="1:25" x14ac:dyDescent="0.3">
      <c r="A35" s="585"/>
      <c r="B35" s="172" t="s">
        <v>28</v>
      </c>
      <c r="C35" s="174" t="s">
        <v>29</v>
      </c>
      <c r="D35" s="174" t="s">
        <v>30</v>
      </c>
      <c r="E35" s="174" t="s">
        <v>31</v>
      </c>
      <c r="F35" s="174" t="s">
        <v>32</v>
      </c>
      <c r="G35" s="175" t="s">
        <v>74</v>
      </c>
      <c r="H35" s="175" t="s">
        <v>75</v>
      </c>
      <c r="I35" s="605"/>
      <c r="J35" s="172" t="s">
        <v>28</v>
      </c>
      <c r="K35" s="174" t="s">
        <v>29</v>
      </c>
      <c r="L35" s="174" t="s">
        <v>30</v>
      </c>
      <c r="M35" s="174" t="s">
        <v>31</v>
      </c>
      <c r="N35" s="174" t="s">
        <v>32</v>
      </c>
      <c r="O35" s="175" t="s">
        <v>74</v>
      </c>
      <c r="P35" s="175" t="s">
        <v>75</v>
      </c>
      <c r="Q35" s="605"/>
      <c r="R35" s="221" t="s">
        <v>28</v>
      </c>
      <c r="S35" s="222" t="s">
        <v>29</v>
      </c>
      <c r="T35" s="222" t="s">
        <v>30</v>
      </c>
      <c r="U35" s="222" t="s">
        <v>31</v>
      </c>
      <c r="V35" s="222" t="s">
        <v>32</v>
      </c>
      <c r="W35" s="223" t="s">
        <v>74</v>
      </c>
      <c r="X35" s="223" t="s">
        <v>179</v>
      </c>
      <c r="Y35" s="614"/>
    </row>
    <row r="36" spans="1:25" x14ac:dyDescent="0.3">
      <c r="A36" s="71" t="s">
        <v>36</v>
      </c>
      <c r="B36" s="156">
        <v>0.25916259765390698</v>
      </c>
      <c r="C36" s="148">
        <v>0.54709366146938399</v>
      </c>
      <c r="D36" s="148">
        <v>0.38931323375959198</v>
      </c>
      <c r="E36" s="148">
        <v>0.36758926176979201</v>
      </c>
      <c r="F36" s="148">
        <v>0.255223037831733</v>
      </c>
      <c r="G36" s="148">
        <v>9.7911127293644706E-2</v>
      </c>
      <c r="H36" s="148">
        <v>1.5312856980978401E-2</v>
      </c>
      <c r="I36" s="153">
        <v>0.27861538127006602</v>
      </c>
      <c r="J36" s="156">
        <v>5.7636887608069197E-2</v>
      </c>
      <c r="K36" s="148">
        <v>0.138866998049613</v>
      </c>
      <c r="L36" s="148">
        <v>6.2877527152612106E-2</v>
      </c>
      <c r="M36" s="148">
        <v>0.114088647335334</v>
      </c>
      <c r="N36" s="148">
        <v>7.5785117578444597E-2</v>
      </c>
      <c r="O36" s="148">
        <v>2.7709458568263401E-2</v>
      </c>
      <c r="P36" s="148">
        <v>6.5529038865928301E-3</v>
      </c>
      <c r="Q36" s="153">
        <v>6.7149466061020596E-2</v>
      </c>
      <c r="R36" s="156">
        <v>0.16282018589556399</v>
      </c>
      <c r="S36" s="148">
        <v>0.35071411238516798</v>
      </c>
      <c r="T36" s="148">
        <v>0.227326350897984</v>
      </c>
      <c r="U36" s="148">
        <v>0.24000816716786999</v>
      </c>
      <c r="V36" s="148">
        <v>0.16361146213262501</v>
      </c>
      <c r="W36" s="148">
        <v>6.1071845791844499E-2</v>
      </c>
      <c r="X36" s="148">
        <v>1.01997194312177E-2</v>
      </c>
      <c r="Y36" s="153">
        <v>0.16976828925979101</v>
      </c>
    </row>
    <row r="37" spans="1:25" x14ac:dyDescent="0.3">
      <c r="A37" s="71" t="s">
        <v>37</v>
      </c>
      <c r="B37" s="156">
        <v>0.244764675562023</v>
      </c>
      <c r="C37" s="148">
        <v>0.14160071238031099</v>
      </c>
      <c r="D37" s="148">
        <v>0.10027765111989501</v>
      </c>
      <c r="E37" s="148">
        <v>7.86039930828486E-2</v>
      </c>
      <c r="F37" s="148">
        <v>6.0982495765104498E-2</v>
      </c>
      <c r="G37" s="148">
        <v>1.83583363675584E-2</v>
      </c>
      <c r="H37" s="148">
        <v>3.0625713961956701E-3</v>
      </c>
      <c r="I37" s="153">
        <v>8.2537188135643702E-2</v>
      </c>
      <c r="J37" s="156">
        <v>1.0165051087241299</v>
      </c>
      <c r="K37" s="148">
        <v>0.31939409551411002</v>
      </c>
      <c r="L37" s="148">
        <v>0.15569673390170599</v>
      </c>
      <c r="M37" s="148">
        <v>0.116370420282041</v>
      </c>
      <c r="N37" s="148">
        <v>0.119090899051842</v>
      </c>
      <c r="O37" s="148">
        <v>3.8793241995568703E-2</v>
      </c>
      <c r="P37" s="148">
        <v>8.7372051821237705E-3</v>
      </c>
      <c r="Q37" s="153">
        <v>0.18248854894230301</v>
      </c>
      <c r="R37" s="156">
        <v>0.61370685452943197</v>
      </c>
      <c r="S37" s="148">
        <v>0.22712913944944199</v>
      </c>
      <c r="T37" s="148">
        <v>0.12777821030867101</v>
      </c>
      <c r="U37" s="148">
        <v>9.7610977077841998E-2</v>
      </c>
      <c r="V37" s="148">
        <v>9.0649593884292001E-2</v>
      </c>
      <c r="W37" s="148">
        <v>2.9081831329449699E-2</v>
      </c>
      <c r="X37" s="148">
        <v>6.3748246445110898E-3</v>
      </c>
      <c r="Y37" s="153">
        <v>0.133984793559524</v>
      </c>
    </row>
    <row r="38" spans="1:25" ht="25" x14ac:dyDescent="0.3">
      <c r="A38" s="71" t="s">
        <v>177</v>
      </c>
      <c r="B38" s="156">
        <v>0.100785454643186</v>
      </c>
      <c r="C38" s="148">
        <v>7.0800356190155594E-2</v>
      </c>
      <c r="D38" s="148">
        <v>5.6037510919941302E-2</v>
      </c>
      <c r="E38" s="148">
        <v>6.9356464484866404E-2</v>
      </c>
      <c r="F38" s="148">
        <v>6.0982495765104498E-2</v>
      </c>
      <c r="G38" s="148">
        <v>4.2836118190969497E-2</v>
      </c>
      <c r="H38" s="148">
        <v>1.5312856980978401E-2</v>
      </c>
      <c r="I38" s="153">
        <v>5.7817928744765601E-2</v>
      </c>
      <c r="J38" s="156">
        <v>0.13099292638197499</v>
      </c>
      <c r="K38" s="148">
        <v>4.86034493173646E-2</v>
      </c>
      <c r="L38" s="148">
        <v>4.1918351435074802E-2</v>
      </c>
      <c r="M38" s="148">
        <v>4.5635458934133698E-2</v>
      </c>
      <c r="N38" s="148">
        <v>7.1454539431104899E-2</v>
      </c>
      <c r="O38" s="148">
        <v>2.4938512711436999E-2</v>
      </c>
      <c r="P38" s="148">
        <v>8.7372051821237705E-3</v>
      </c>
      <c r="Q38" s="153">
        <v>4.7004626242714398E-2</v>
      </c>
      <c r="R38" s="156">
        <v>0.115226593095322</v>
      </c>
      <c r="S38" s="148">
        <v>6.0122419266028897E-2</v>
      </c>
      <c r="T38" s="148">
        <v>4.9031173723094498E-2</v>
      </c>
      <c r="U38" s="148">
        <v>5.7418221810495301E-2</v>
      </c>
      <c r="V38" s="148">
        <v>6.63289711348478E-2</v>
      </c>
      <c r="W38" s="148">
        <v>3.3444106028867202E-2</v>
      </c>
      <c r="X38" s="148">
        <v>1.147468436012E-2</v>
      </c>
      <c r="Y38" s="153">
        <v>5.2252036335049497E-2</v>
      </c>
    </row>
    <row r="39" spans="1:25" ht="25" x14ac:dyDescent="0.3">
      <c r="A39" s="71" t="s">
        <v>38</v>
      </c>
      <c r="B39" s="156">
        <v>4.7993073639612298E-2</v>
      </c>
      <c r="C39" s="148">
        <v>5.1491168138294997E-2</v>
      </c>
      <c r="D39" s="148">
        <v>6.7834881639928901E-2</v>
      </c>
      <c r="E39" s="148">
        <v>9.2475285979821895E-2</v>
      </c>
      <c r="F39" s="148">
        <v>0.103896103896104</v>
      </c>
      <c r="G39" s="148">
        <v>7.6493068198159903E-2</v>
      </c>
      <c r="H39" s="148">
        <v>6.7376570716304804E-2</v>
      </c>
      <c r="I39" s="153">
        <v>7.6252630663386597E-2</v>
      </c>
      <c r="J39" s="156">
        <v>1.5719151165837001E-2</v>
      </c>
      <c r="K39" s="148">
        <v>3.4716749512403298E-2</v>
      </c>
      <c r="L39" s="148">
        <v>2.3953343677185601E-2</v>
      </c>
      <c r="M39" s="148">
        <v>4.1071913040720297E-2</v>
      </c>
      <c r="N39" s="148">
        <v>5.8462804989085897E-2</v>
      </c>
      <c r="O39" s="148">
        <v>4.7106079566047697E-2</v>
      </c>
      <c r="P39" s="148">
        <v>3.05802181374332E-2</v>
      </c>
      <c r="Q39" s="153">
        <v>3.8314695340699999E-2</v>
      </c>
      <c r="R39" s="156">
        <v>3.2564037179112701E-2</v>
      </c>
      <c r="S39" s="148">
        <v>4.3421747247687499E-2</v>
      </c>
      <c r="T39" s="148">
        <v>4.6059587436846398E-2</v>
      </c>
      <c r="U39" s="148">
        <v>6.6605137300174505E-2</v>
      </c>
      <c r="V39" s="148">
        <v>8.0700248214064796E-2</v>
      </c>
      <c r="W39" s="148">
        <v>6.1071845791844499E-2</v>
      </c>
      <c r="X39" s="148">
        <v>4.5898737440479898E-2</v>
      </c>
      <c r="Y39" s="153">
        <v>5.6724973297582901E-2</v>
      </c>
    </row>
    <row r="40" spans="1:25" x14ac:dyDescent="0.3">
      <c r="A40" s="71" t="s">
        <v>39</v>
      </c>
      <c r="B40" s="156">
        <v>0.36474735966105398</v>
      </c>
      <c r="C40" s="148">
        <v>0.46985690926194201</v>
      </c>
      <c r="D40" s="148">
        <v>0.451249430039527</v>
      </c>
      <c r="E40" s="148">
        <v>0.67738146980219505</v>
      </c>
      <c r="F40" s="148">
        <v>0.767927724449464</v>
      </c>
      <c r="G40" s="148">
        <v>0.431420904637622</v>
      </c>
      <c r="H40" s="148">
        <v>0.122502855847827</v>
      </c>
      <c r="I40" s="153">
        <v>0.49815592230091599</v>
      </c>
      <c r="J40" s="156">
        <v>0.89075189939743304</v>
      </c>
      <c r="K40" s="148">
        <v>0.44437439375876198</v>
      </c>
      <c r="L40" s="148">
        <v>0.425171850270044</v>
      </c>
      <c r="M40" s="148">
        <v>0.794056985453926</v>
      </c>
      <c r="N40" s="148">
        <v>1.0415040444351999</v>
      </c>
      <c r="O40" s="148">
        <v>0.62623376364275196</v>
      </c>
      <c r="P40" s="148">
        <v>0.144163885505042</v>
      </c>
      <c r="Q40" s="153">
        <v>0.61659009718384195</v>
      </c>
      <c r="R40" s="156">
        <v>0.616211780466287</v>
      </c>
      <c r="S40" s="148">
        <v>0.45759841330255302</v>
      </c>
      <c r="T40" s="148">
        <v>0.438308977221602</v>
      </c>
      <c r="U40" s="148">
        <v>0.73610160361054999</v>
      </c>
      <c r="V40" s="148">
        <v>0.907601421695167</v>
      </c>
      <c r="W40" s="148">
        <v>0.53365160489540298</v>
      </c>
      <c r="X40" s="148">
        <v>0.135146282463635</v>
      </c>
      <c r="Y40" s="153">
        <v>0.55911712031667804</v>
      </c>
    </row>
    <row r="41" spans="1:25" ht="25" x14ac:dyDescent="0.3">
      <c r="A41" s="71" t="s">
        <v>178</v>
      </c>
      <c r="B41" s="156">
        <v>0.23036675347013899</v>
      </c>
      <c r="C41" s="148">
        <v>0.23492845463097101</v>
      </c>
      <c r="D41" s="148">
        <v>0.20645398759978401</v>
      </c>
      <c r="E41" s="148">
        <v>0.27049021149097902</v>
      </c>
      <c r="F41" s="148">
        <v>0.34105025409373202</v>
      </c>
      <c r="G41" s="148">
        <v>0.21724031368277399</v>
      </c>
      <c r="H41" s="148">
        <v>8.5751999093478901E-2</v>
      </c>
      <c r="I41" s="153">
        <v>0.233785537967965</v>
      </c>
      <c r="J41" s="156">
        <v>0.345821325648415</v>
      </c>
      <c r="K41" s="148">
        <v>0.13192364814713201</v>
      </c>
      <c r="L41" s="148">
        <v>0.122760886345576</v>
      </c>
      <c r="M41" s="148">
        <v>0.136906376802401</v>
      </c>
      <c r="N41" s="148">
        <v>0.25117353254570202</v>
      </c>
      <c r="O41" s="148">
        <v>0.17179864312323301</v>
      </c>
      <c r="P41" s="148">
        <v>8.7372051821237695E-2</v>
      </c>
      <c r="Q41" s="153">
        <v>0.16708367143418701</v>
      </c>
      <c r="R41" s="156">
        <v>0.28556155680145001</v>
      </c>
      <c r="S41" s="148">
        <v>0.18537745940358899</v>
      </c>
      <c r="T41" s="148">
        <v>0.16492303888677201</v>
      </c>
      <c r="U41" s="148">
        <v>0.20326050520915301</v>
      </c>
      <c r="V41" s="148">
        <v>0.29516392155007298</v>
      </c>
      <c r="W41" s="148">
        <v>0.19339417834084099</v>
      </c>
      <c r="X41" s="148">
        <v>8.6697615165350794E-2</v>
      </c>
      <c r="Y41" s="153">
        <v>0.199452325465695</v>
      </c>
    </row>
    <row r="42" spans="1:25" ht="25" x14ac:dyDescent="0.3">
      <c r="A42" s="71" t="s">
        <v>40</v>
      </c>
      <c r="B42" s="156">
        <v>1.1230379231669301</v>
      </c>
      <c r="C42" s="148">
        <v>1.4449709058808999</v>
      </c>
      <c r="D42" s="148">
        <v>1.0204725672789301</v>
      </c>
      <c r="E42" s="148">
        <v>1.19755495343869</v>
      </c>
      <c r="F42" s="148">
        <v>1.0276679841897201</v>
      </c>
      <c r="G42" s="148">
        <v>0.34574866825568301</v>
      </c>
      <c r="H42" s="148">
        <v>5.5126285131522103E-2</v>
      </c>
      <c r="I42" s="153">
        <v>0.89366407255496505</v>
      </c>
      <c r="J42" s="156">
        <v>3.5420487293686098</v>
      </c>
      <c r="K42" s="148">
        <v>1.53448032844822</v>
      </c>
      <c r="L42" s="148">
        <v>0.87130287625762504</v>
      </c>
      <c r="M42" s="148">
        <v>0.80774762313416604</v>
      </c>
      <c r="N42" s="148">
        <v>0.77300819930013498</v>
      </c>
      <c r="O42" s="148">
        <v>0.21613377683245399</v>
      </c>
      <c r="P42" s="148">
        <v>1.9658711659778502E-2</v>
      </c>
      <c r="Q42" s="153">
        <v>0.87175806821572099</v>
      </c>
      <c r="R42" s="156">
        <v>2.27948260253789</v>
      </c>
      <c r="S42" s="148">
        <v>1.48802987683421</v>
      </c>
      <c r="T42" s="148">
        <v>0.94645023217003699</v>
      </c>
      <c r="U42" s="148">
        <v>1.00137378837504</v>
      </c>
      <c r="V42" s="148">
        <v>0.89765207602494002</v>
      </c>
      <c r="W42" s="148">
        <v>0.27773148919624502</v>
      </c>
      <c r="X42" s="148">
        <v>3.4424053080359902E-2</v>
      </c>
      <c r="Y42" s="153">
        <v>0.88238847351795702</v>
      </c>
    </row>
    <row r="43" spans="1:25" ht="25" x14ac:dyDescent="0.3">
      <c r="A43" s="71" t="s">
        <v>41</v>
      </c>
      <c r="B43" s="156">
        <v>0.17277506510260399</v>
      </c>
      <c r="C43" s="148">
        <v>0.55353005748667095</v>
      </c>
      <c r="D43" s="148">
        <v>0.54562839579942801</v>
      </c>
      <c r="E43" s="148">
        <v>0.83690133811738798</v>
      </c>
      <c r="F43" s="148">
        <v>0.94184076792772498</v>
      </c>
      <c r="G43" s="148">
        <v>0.38858478644665201</v>
      </c>
      <c r="H43" s="148">
        <v>8.2689427697283199E-2</v>
      </c>
      <c r="I43" s="153">
        <v>0.55555488054753099</v>
      </c>
      <c r="J43" s="156">
        <v>0.209588682211161</v>
      </c>
      <c r="K43" s="148">
        <v>0.43048769395379999</v>
      </c>
      <c r="L43" s="148">
        <v>0.43116018618933999</v>
      </c>
      <c r="M43" s="148">
        <v>0.62976933329104501</v>
      </c>
      <c r="N43" s="148">
        <v>0.99603297388812995</v>
      </c>
      <c r="O43" s="148">
        <v>0.512624983512872</v>
      </c>
      <c r="P43" s="148">
        <v>0.13979528291398</v>
      </c>
      <c r="Q43" s="153">
        <v>0.51073093892293897</v>
      </c>
      <c r="R43" s="156">
        <v>0.19037437120096701</v>
      </c>
      <c r="S43" s="148">
        <v>0.49433989174290399</v>
      </c>
      <c r="T43" s="148">
        <v>0.48882594408782098</v>
      </c>
      <c r="U43" s="148">
        <v>0.73265651030192003</v>
      </c>
      <c r="V43" s="148">
        <v>0.96950846142102498</v>
      </c>
      <c r="W43" s="148">
        <v>0.45367656873941598</v>
      </c>
      <c r="X43" s="148">
        <v>0.11602180853010199</v>
      </c>
      <c r="Y43" s="153">
        <v>0.53248281385795604</v>
      </c>
    </row>
    <row r="44" spans="1:25" x14ac:dyDescent="0.3">
      <c r="A44" s="71" t="s">
        <v>42</v>
      </c>
      <c r="B44" s="156">
        <v>0.25436329028994498</v>
      </c>
      <c r="C44" s="148">
        <v>0.31860160285569999</v>
      </c>
      <c r="D44" s="148">
        <v>0.32442769479965999</v>
      </c>
      <c r="E44" s="148">
        <v>0.321351618779881</v>
      </c>
      <c r="F44" s="148">
        <v>0.18068887634104999</v>
      </c>
      <c r="G44" s="148">
        <v>0.137687522756688</v>
      </c>
      <c r="H44" s="148">
        <v>2.75631425657611E-2</v>
      </c>
      <c r="I44" s="153">
        <v>0.22414921651050501</v>
      </c>
      <c r="J44" s="156">
        <v>0.110034058160859</v>
      </c>
      <c r="K44" s="148">
        <v>0.19441379726945801</v>
      </c>
      <c r="L44" s="148">
        <v>0.18264424553854</v>
      </c>
      <c r="M44" s="148">
        <v>0.17113297100300101</v>
      </c>
      <c r="N44" s="148">
        <v>0.149404946083219</v>
      </c>
      <c r="O44" s="148">
        <v>8.0357429847963804E-2</v>
      </c>
      <c r="P44" s="148">
        <v>1.31058077731857E-2</v>
      </c>
      <c r="Q44" s="153">
        <v>0.12521400436084401</v>
      </c>
      <c r="R44" s="156">
        <v>0.185364519327257</v>
      </c>
      <c r="S44" s="148">
        <v>0.25886041628429102</v>
      </c>
      <c r="T44" s="148">
        <v>0.25407062747421699</v>
      </c>
      <c r="U44" s="148">
        <v>0.24574998934892001</v>
      </c>
      <c r="V44" s="148">
        <v>0.16471694498487199</v>
      </c>
      <c r="W44" s="148">
        <v>0.107602775918964</v>
      </c>
      <c r="X44" s="148">
        <v>1.9124473933533299E-2</v>
      </c>
      <c r="Y44" s="153">
        <v>0.17322464963993101</v>
      </c>
    </row>
    <row r="45" spans="1:25" ht="25" x14ac:dyDescent="0.3">
      <c r="A45" s="71" t="s">
        <v>43</v>
      </c>
      <c r="B45" s="156">
        <v>1.66535965529455</v>
      </c>
      <c r="C45" s="148">
        <v>4.5955867563428301</v>
      </c>
      <c r="D45" s="148">
        <v>5.1790457460745696</v>
      </c>
      <c r="E45" s="148">
        <v>6.0617549959773198</v>
      </c>
      <c r="F45" s="148">
        <v>6.1705251270468704</v>
      </c>
      <c r="G45" s="148">
        <v>2.42636012324563</v>
      </c>
      <c r="H45" s="148">
        <v>0.62782713622011299</v>
      </c>
      <c r="I45" s="153">
        <v>4.14068543322115</v>
      </c>
      <c r="J45" s="156">
        <v>0.77547812418129403</v>
      </c>
      <c r="K45" s="148">
        <v>1.2984064317638799</v>
      </c>
      <c r="L45" s="148">
        <v>1.8084774476275101</v>
      </c>
      <c r="M45" s="148">
        <v>2.7928900867689799</v>
      </c>
      <c r="N45" s="148">
        <v>3.5683963934079101</v>
      </c>
      <c r="O45" s="148">
        <v>1.7235283229459799</v>
      </c>
      <c r="P45" s="148">
        <v>0.40846434226428602</v>
      </c>
      <c r="Q45" s="153">
        <v>1.8987499020901499</v>
      </c>
      <c r="R45" s="156">
        <v>1.23993833874314</v>
      </c>
      <c r="S45" s="148">
        <v>3.0094610977051102</v>
      </c>
      <c r="T45" s="148">
        <v>3.50647181777282</v>
      </c>
      <c r="U45" s="148">
        <v>4.4166096216632997</v>
      </c>
      <c r="V45" s="148">
        <v>4.8420148928438902</v>
      </c>
      <c r="W45" s="148">
        <v>2.0575395665585701</v>
      </c>
      <c r="X45" s="148">
        <v>0.49978625212966998</v>
      </c>
      <c r="Y45" s="153">
        <v>2.9867019990734498</v>
      </c>
    </row>
    <row r="46" spans="1:25" ht="25" x14ac:dyDescent="0.3">
      <c r="A46" s="71" t="s">
        <v>44</v>
      </c>
      <c r="B46" s="156">
        <v>0.244764675562023</v>
      </c>
      <c r="C46" s="148">
        <v>0.34756538493349098</v>
      </c>
      <c r="D46" s="148">
        <v>0.28903558263969698</v>
      </c>
      <c r="E46" s="148">
        <v>0.27049021149097902</v>
      </c>
      <c r="F46" s="148">
        <v>0.24392998306041799</v>
      </c>
      <c r="G46" s="148">
        <v>7.9552790926086303E-2</v>
      </c>
      <c r="H46" s="148">
        <v>1.5312856980978401E-2</v>
      </c>
      <c r="I46" s="153">
        <v>0.21493186555119401</v>
      </c>
      <c r="J46" s="156">
        <v>0.42441708147759999</v>
      </c>
      <c r="K46" s="148">
        <v>0.28814902095294698</v>
      </c>
      <c r="L46" s="148">
        <v>0.245521772691152</v>
      </c>
      <c r="M46" s="148">
        <v>0.177978289843121</v>
      </c>
      <c r="N46" s="148">
        <v>0.21869419644065499</v>
      </c>
      <c r="O46" s="148">
        <v>0.141318238698143</v>
      </c>
      <c r="P46" s="148">
        <v>1.52901090687166E-2</v>
      </c>
      <c r="Q46" s="153">
        <v>0.19078348298513501</v>
      </c>
      <c r="R46" s="156">
        <v>0.33065022366483698</v>
      </c>
      <c r="S46" s="148">
        <v>0.31898283555031998</v>
      </c>
      <c r="T46" s="148">
        <v>0.267442765762334</v>
      </c>
      <c r="U46" s="148">
        <v>0.22393106506093199</v>
      </c>
      <c r="V46" s="148">
        <v>0.23104591611972</v>
      </c>
      <c r="W46" s="148">
        <v>0.11196505061838199</v>
      </c>
      <c r="X46" s="148">
        <v>1.52995791468266E-2</v>
      </c>
      <c r="Y46" s="153">
        <v>0.20250205521287701</v>
      </c>
    </row>
    <row r="47" spans="1:25" ht="14.5" thickBot="1" x14ac:dyDescent="0.35">
      <c r="A47" s="44" t="s">
        <v>1</v>
      </c>
      <c r="B47" s="157">
        <v>4.7081205240459703</v>
      </c>
      <c r="C47" s="158">
        <v>8.7760259695706502</v>
      </c>
      <c r="D47" s="158">
        <v>8.6297766816709593</v>
      </c>
      <c r="E47" s="158">
        <v>10.2439498044148</v>
      </c>
      <c r="F47" s="158">
        <v>10.154714850367</v>
      </c>
      <c r="G47" s="158">
        <v>4.2621937600014697</v>
      </c>
      <c r="H47" s="158">
        <v>1.11783855961142</v>
      </c>
      <c r="I47" s="154">
        <v>7.2561500574680897</v>
      </c>
      <c r="J47" s="157">
        <v>7.5189939743253902</v>
      </c>
      <c r="K47" s="158">
        <v>4.8638166066877</v>
      </c>
      <c r="L47" s="158">
        <v>4.3714852210863704</v>
      </c>
      <c r="M47" s="158">
        <v>5.8276481058888701</v>
      </c>
      <c r="N47" s="158">
        <v>7.3230076471514201</v>
      </c>
      <c r="O47" s="158">
        <v>3.61054245144472</v>
      </c>
      <c r="P47" s="158">
        <v>0.88245772339450002</v>
      </c>
      <c r="Q47" s="154">
        <v>4.7158675017795604</v>
      </c>
      <c r="R47" s="157">
        <v>6.0519010634412602</v>
      </c>
      <c r="S47" s="158">
        <v>6.8940374091713101</v>
      </c>
      <c r="T47" s="158">
        <v>6.5166887257421999</v>
      </c>
      <c r="U47" s="158">
        <v>8.0213255869261904</v>
      </c>
      <c r="V47" s="158">
        <v>8.7089939100055194</v>
      </c>
      <c r="W47" s="158">
        <v>3.9202308632098299</v>
      </c>
      <c r="X47" s="158">
        <v>0.98044803032580596</v>
      </c>
      <c r="Y47" s="154">
        <v>5.94859952953649</v>
      </c>
    </row>
    <row r="49" spans="1:15" ht="32.25" customHeight="1" x14ac:dyDescent="0.3">
      <c r="A49" s="478" t="s">
        <v>242</v>
      </c>
      <c r="B49" s="479"/>
      <c r="C49" s="479"/>
      <c r="D49" s="479"/>
      <c r="E49" s="479"/>
      <c r="F49" s="479"/>
      <c r="G49" s="479"/>
      <c r="H49" s="479"/>
      <c r="I49" s="479"/>
      <c r="J49" s="479"/>
      <c r="K49" s="479"/>
    </row>
    <row r="50" spans="1:15" ht="14.5" thickBot="1" x14ac:dyDescent="0.35"/>
    <row r="51" spans="1:15" ht="14.25" customHeight="1" x14ac:dyDescent="0.3">
      <c r="A51" s="588" t="s">
        <v>2</v>
      </c>
      <c r="B51" s="590" t="s">
        <v>62</v>
      </c>
      <c r="C51" s="590"/>
      <c r="D51" s="590"/>
      <c r="E51" s="590"/>
      <c r="F51" s="590"/>
      <c r="G51" s="590"/>
      <c r="H51" s="590"/>
      <c r="I51" s="590"/>
      <c r="J51" s="590"/>
      <c r="K51" s="590"/>
      <c r="L51" s="590"/>
      <c r="M51" s="590"/>
      <c r="N51" s="590"/>
      <c r="O51" s="591"/>
    </row>
    <row r="52" spans="1:15" ht="142.5" customHeight="1" x14ac:dyDescent="0.3">
      <c r="A52" s="589"/>
      <c r="B52" s="592" t="s">
        <v>55</v>
      </c>
      <c r="C52" s="592"/>
      <c r="D52" s="592" t="s">
        <v>56</v>
      </c>
      <c r="E52" s="592"/>
      <c r="F52" s="592" t="s">
        <v>57</v>
      </c>
      <c r="G52" s="592"/>
      <c r="H52" s="592" t="s">
        <v>58</v>
      </c>
      <c r="I52" s="592"/>
      <c r="J52" s="592" t="s">
        <v>59</v>
      </c>
      <c r="K52" s="592"/>
      <c r="L52" s="592" t="s">
        <v>60</v>
      </c>
      <c r="M52" s="592"/>
      <c r="N52" s="592" t="s">
        <v>0</v>
      </c>
      <c r="O52" s="593"/>
    </row>
    <row r="53" spans="1:15" ht="36.75" customHeight="1" x14ac:dyDescent="0.3">
      <c r="A53" s="589"/>
      <c r="B53" s="224" t="s">
        <v>53</v>
      </c>
      <c r="C53" s="224" t="s">
        <v>180</v>
      </c>
      <c r="D53" s="224" t="s">
        <v>53</v>
      </c>
      <c r="E53" s="224" t="s">
        <v>180</v>
      </c>
      <c r="F53" s="224" t="s">
        <v>53</v>
      </c>
      <c r="G53" s="224" t="s">
        <v>180</v>
      </c>
      <c r="H53" s="224" t="s">
        <v>53</v>
      </c>
      <c r="I53" s="224" t="s">
        <v>180</v>
      </c>
      <c r="J53" s="224" t="s">
        <v>53</v>
      </c>
      <c r="K53" s="224" t="s">
        <v>180</v>
      </c>
      <c r="L53" s="224" t="s">
        <v>53</v>
      </c>
      <c r="M53" s="224" t="s">
        <v>180</v>
      </c>
      <c r="N53" s="224" t="s">
        <v>53</v>
      </c>
      <c r="O53" s="224" t="s">
        <v>180</v>
      </c>
    </row>
    <row r="54" spans="1:15" x14ac:dyDescent="0.3">
      <c r="A54" s="61" t="s">
        <v>3</v>
      </c>
      <c r="B54" s="64">
        <v>761</v>
      </c>
      <c r="C54" s="159">
        <v>2.0649624711386898</v>
      </c>
      <c r="D54" s="225">
        <v>46251</v>
      </c>
      <c r="E54" s="159">
        <v>125.5014182032</v>
      </c>
      <c r="F54" s="225">
        <v>300034</v>
      </c>
      <c r="G54" s="159">
        <v>814.13791073012601</v>
      </c>
      <c r="H54" s="225">
        <v>87086</v>
      </c>
      <c r="I54" s="159">
        <v>236.30659889827101</v>
      </c>
      <c r="J54" s="64">
        <v>77216</v>
      </c>
      <c r="K54" s="159">
        <v>209.52449694013799</v>
      </c>
      <c r="L54" s="225">
        <v>222836</v>
      </c>
      <c r="M54" s="159">
        <v>604.66225652912101</v>
      </c>
      <c r="N54" s="226">
        <v>734184</v>
      </c>
      <c r="O54" s="227">
        <v>1992.19764377199</v>
      </c>
    </row>
    <row r="55" spans="1:15" x14ac:dyDescent="0.3">
      <c r="A55" s="61" t="s">
        <v>4</v>
      </c>
      <c r="B55" s="64"/>
      <c r="C55" s="159"/>
      <c r="D55" s="225">
        <v>5653</v>
      </c>
      <c r="E55" s="159">
        <v>533.68956694957706</v>
      </c>
      <c r="F55" s="225">
        <v>6916</v>
      </c>
      <c r="G55" s="159">
        <v>652.92712630873405</v>
      </c>
      <c r="H55" s="225"/>
      <c r="I55" s="159"/>
      <c r="J55" s="64">
        <v>7430</v>
      </c>
      <c r="K55" s="159">
        <v>701.45294223162102</v>
      </c>
      <c r="L55" s="225">
        <v>12019</v>
      </c>
      <c r="M55" s="159">
        <v>1134.69218205678</v>
      </c>
      <c r="N55" s="226">
        <v>32018</v>
      </c>
      <c r="O55" s="227">
        <v>3022.7618175467101</v>
      </c>
    </row>
    <row r="56" spans="1:15" x14ac:dyDescent="0.3">
      <c r="A56" s="61" t="s">
        <v>5</v>
      </c>
      <c r="B56" s="64"/>
      <c r="C56" s="159"/>
      <c r="D56" s="225"/>
      <c r="E56" s="159"/>
      <c r="F56" s="225"/>
      <c r="G56" s="159"/>
      <c r="H56" s="225">
        <v>1384</v>
      </c>
      <c r="I56" s="159">
        <v>1.6170389166587</v>
      </c>
      <c r="J56" s="64">
        <v>908634</v>
      </c>
      <c r="K56" s="159">
        <v>1061.6304472538</v>
      </c>
      <c r="L56" s="225">
        <v>1907665</v>
      </c>
      <c r="M56" s="159">
        <v>2228.8790064651198</v>
      </c>
      <c r="N56" s="226">
        <v>2817683</v>
      </c>
      <c r="O56" s="227">
        <v>3292.1264926355798</v>
      </c>
    </row>
    <row r="57" spans="1:15" x14ac:dyDescent="0.3">
      <c r="A57" s="61" t="s">
        <v>23</v>
      </c>
      <c r="B57" s="64"/>
      <c r="C57" s="159"/>
      <c r="D57" s="225">
        <v>36725</v>
      </c>
      <c r="E57" s="159">
        <v>826.29473466320496</v>
      </c>
      <c r="F57" s="225">
        <v>30240</v>
      </c>
      <c r="G57" s="159">
        <v>680.38537171450798</v>
      </c>
      <c r="H57" s="225"/>
      <c r="I57" s="159"/>
      <c r="J57" s="64"/>
      <c r="K57" s="159"/>
      <c r="L57" s="225">
        <v>2238</v>
      </c>
      <c r="M57" s="159">
        <v>50.353917390776097</v>
      </c>
      <c r="N57" s="226">
        <v>69203</v>
      </c>
      <c r="O57" s="227">
        <v>1557.03402376849</v>
      </c>
    </row>
    <row r="58" spans="1:15" x14ac:dyDescent="0.3">
      <c r="A58" s="61" t="s">
        <v>24</v>
      </c>
      <c r="B58" s="64"/>
      <c r="C58" s="159"/>
      <c r="D58" s="225"/>
      <c r="E58" s="159"/>
      <c r="F58" s="225"/>
      <c r="G58" s="159"/>
      <c r="H58" s="225">
        <v>24030</v>
      </c>
      <c r="I58" s="159">
        <v>519.95880143329498</v>
      </c>
      <c r="J58" s="64">
        <v>30122</v>
      </c>
      <c r="K58" s="159">
        <v>651.77690456819403</v>
      </c>
      <c r="L58" s="225"/>
      <c r="M58" s="159"/>
      <c r="N58" s="226">
        <v>54152</v>
      </c>
      <c r="O58" s="227">
        <v>1171.7357060014899</v>
      </c>
    </row>
    <row r="59" spans="1:15" x14ac:dyDescent="0.3">
      <c r="A59" s="61" t="s">
        <v>6</v>
      </c>
      <c r="B59" s="64">
        <v>123750</v>
      </c>
      <c r="C59" s="159">
        <v>296.647914523211</v>
      </c>
      <c r="D59" s="225">
        <v>230762</v>
      </c>
      <c r="E59" s="159">
        <v>553.17225091882904</v>
      </c>
      <c r="F59" s="225">
        <v>140888</v>
      </c>
      <c r="G59" s="159">
        <v>337.73035459673599</v>
      </c>
      <c r="H59" s="225">
        <v>259205</v>
      </c>
      <c r="I59" s="159">
        <v>621.35452673930399</v>
      </c>
      <c r="J59" s="64">
        <v>71954</v>
      </c>
      <c r="K59" s="159">
        <v>172.484881144268</v>
      </c>
      <c r="L59" s="225">
        <v>135055</v>
      </c>
      <c r="M59" s="159">
        <v>323.74775027015897</v>
      </c>
      <c r="N59" s="226">
        <v>961614</v>
      </c>
      <c r="O59" s="227">
        <v>2305.1376781925101</v>
      </c>
    </row>
    <row r="60" spans="1:15" x14ac:dyDescent="0.3">
      <c r="A60" s="61" t="s">
        <v>22</v>
      </c>
      <c r="B60" s="64"/>
      <c r="C60" s="159"/>
      <c r="D60" s="225"/>
      <c r="E60" s="159"/>
      <c r="F60" s="225"/>
      <c r="G60" s="159"/>
      <c r="H60" s="225"/>
      <c r="I60" s="159"/>
      <c r="J60" s="64"/>
      <c r="K60" s="159"/>
      <c r="L60" s="225">
        <v>68236</v>
      </c>
      <c r="M60" s="159">
        <v>788.53551911305397</v>
      </c>
      <c r="N60" s="226">
        <v>68236</v>
      </c>
      <c r="O60" s="227">
        <v>788.53551911305397</v>
      </c>
    </row>
    <row r="61" spans="1:15" x14ac:dyDescent="0.3">
      <c r="A61" s="61" t="s">
        <v>7</v>
      </c>
      <c r="B61" s="64"/>
      <c r="C61" s="159"/>
      <c r="D61" s="225">
        <v>160752</v>
      </c>
      <c r="E61" s="159">
        <v>1932.9308398134301</v>
      </c>
      <c r="F61" s="225">
        <v>181554</v>
      </c>
      <c r="G61" s="159">
        <v>2183.0604016838802</v>
      </c>
      <c r="H61" s="225">
        <v>42360</v>
      </c>
      <c r="I61" s="159">
        <v>509.349497203748</v>
      </c>
      <c r="J61" s="64">
        <v>5756</v>
      </c>
      <c r="K61" s="159">
        <v>69.211891074239304</v>
      </c>
      <c r="L61" s="225">
        <v>125901</v>
      </c>
      <c r="M61" s="159">
        <v>1513.8718377584801</v>
      </c>
      <c r="N61" s="226">
        <v>516323</v>
      </c>
      <c r="O61" s="227">
        <v>6208.4244675337804</v>
      </c>
    </row>
    <row r="62" spans="1:15" x14ac:dyDescent="0.3">
      <c r="A62" s="61" t="s">
        <v>8</v>
      </c>
      <c r="B62" s="64"/>
      <c r="C62" s="159"/>
      <c r="D62" s="225">
        <v>137785</v>
      </c>
      <c r="E62" s="159">
        <v>359.900522905147</v>
      </c>
      <c r="F62" s="225">
        <v>181925</v>
      </c>
      <c r="G62" s="159">
        <v>475.19615799629003</v>
      </c>
      <c r="H62" s="225"/>
      <c r="I62" s="159"/>
      <c r="J62" s="64"/>
      <c r="K62" s="159"/>
      <c r="L62" s="225">
        <v>336853</v>
      </c>
      <c r="M62" s="159">
        <v>879.87495621560799</v>
      </c>
      <c r="N62" s="226">
        <v>656563</v>
      </c>
      <c r="O62" s="227">
        <v>1714.97163711704</v>
      </c>
    </row>
    <row r="63" spans="1:15" x14ac:dyDescent="0.3">
      <c r="A63" s="61" t="s">
        <v>9</v>
      </c>
      <c r="B63" s="64">
        <v>225839</v>
      </c>
      <c r="C63" s="159">
        <v>710.75525633597499</v>
      </c>
      <c r="D63" s="225"/>
      <c r="E63" s="159"/>
      <c r="F63" s="225"/>
      <c r="G63" s="159"/>
      <c r="H63" s="225">
        <v>19032</v>
      </c>
      <c r="I63" s="159">
        <v>59.897068436303201</v>
      </c>
      <c r="J63" s="64">
        <v>39027</v>
      </c>
      <c r="K63" s="159">
        <v>122.82486810968901</v>
      </c>
      <c r="L63" s="225">
        <v>416385</v>
      </c>
      <c r="M63" s="159">
        <v>1310.4372026507999</v>
      </c>
      <c r="N63" s="226">
        <v>700283</v>
      </c>
      <c r="O63" s="227">
        <v>2203.91439553277</v>
      </c>
    </row>
    <row r="64" spans="1:15" x14ac:dyDescent="0.3">
      <c r="A64" s="61" t="s">
        <v>10</v>
      </c>
      <c r="B64" s="64"/>
      <c r="C64" s="159"/>
      <c r="D64" s="225"/>
      <c r="E64" s="159"/>
      <c r="F64" s="225"/>
      <c r="G64" s="159"/>
      <c r="H64" s="225">
        <v>36090</v>
      </c>
      <c r="I64" s="159">
        <v>487.85037633013201</v>
      </c>
      <c r="J64" s="64">
        <v>109823</v>
      </c>
      <c r="K64" s="159">
        <v>1484.54397006661</v>
      </c>
      <c r="L64" s="225">
        <v>168093</v>
      </c>
      <c r="M64" s="159">
        <v>2272.2148325979801</v>
      </c>
      <c r="N64" s="226">
        <v>314006</v>
      </c>
      <c r="O64" s="227">
        <v>4244.6091789947204</v>
      </c>
    </row>
    <row r="65" spans="1:25" x14ac:dyDescent="0.3">
      <c r="A65" s="61" t="s">
        <v>11</v>
      </c>
      <c r="B65" s="64"/>
      <c r="C65" s="159"/>
      <c r="D65" s="225">
        <v>100297</v>
      </c>
      <c r="E65" s="159">
        <v>781.99776387171403</v>
      </c>
      <c r="F65" s="225">
        <v>168584</v>
      </c>
      <c r="G65" s="159">
        <v>1314.4192849691301</v>
      </c>
      <c r="H65" s="225">
        <v>57053</v>
      </c>
      <c r="I65" s="159">
        <v>444.832033083471</v>
      </c>
      <c r="J65" s="64"/>
      <c r="K65" s="159"/>
      <c r="L65" s="225">
        <v>202566</v>
      </c>
      <c r="M65" s="159">
        <v>1579.3708589134001</v>
      </c>
      <c r="N65" s="226">
        <v>528500</v>
      </c>
      <c r="O65" s="457">
        <v>4120.6199408377197</v>
      </c>
    </row>
    <row r="66" spans="1:25" x14ac:dyDescent="0.3">
      <c r="A66" s="61" t="s">
        <v>12</v>
      </c>
      <c r="B66" s="64"/>
      <c r="C66" s="159"/>
      <c r="D66" s="225">
        <v>250782</v>
      </c>
      <c r="E66" s="159">
        <v>511.59275273180202</v>
      </c>
      <c r="F66" s="225">
        <v>532600</v>
      </c>
      <c r="G66" s="159">
        <v>1086.4986326967501</v>
      </c>
      <c r="H66" s="225">
        <v>30784</v>
      </c>
      <c r="I66" s="159">
        <v>62.799049772694097</v>
      </c>
      <c r="J66" s="64">
        <v>84597</v>
      </c>
      <c r="K66" s="159">
        <v>172.57702746948399</v>
      </c>
      <c r="L66" s="225">
        <v>371743</v>
      </c>
      <c r="M66" s="159">
        <v>758.35197374125005</v>
      </c>
      <c r="N66" s="226">
        <v>1270506</v>
      </c>
      <c r="O66" s="227">
        <v>2591.81943641198</v>
      </c>
    </row>
    <row r="67" spans="1:25" x14ac:dyDescent="0.3">
      <c r="A67" s="61" t="s">
        <v>13</v>
      </c>
      <c r="B67" s="64"/>
      <c r="C67" s="159"/>
      <c r="D67" s="225"/>
      <c r="E67" s="159"/>
      <c r="F67" s="225"/>
      <c r="G67" s="159"/>
      <c r="H67" s="225"/>
      <c r="I67" s="159"/>
      <c r="J67" s="64"/>
      <c r="K67" s="159"/>
      <c r="L67" s="225"/>
      <c r="M67" s="159"/>
      <c r="N67" s="226"/>
      <c r="O67" s="227"/>
    </row>
    <row r="68" spans="1:25" x14ac:dyDescent="0.3">
      <c r="A68" s="61" t="s">
        <v>14</v>
      </c>
      <c r="B68" s="64"/>
      <c r="C68" s="159"/>
      <c r="D68" s="225"/>
      <c r="E68" s="159"/>
      <c r="F68" s="225"/>
      <c r="G68" s="159"/>
      <c r="H68" s="225"/>
      <c r="I68" s="159"/>
      <c r="J68" s="64"/>
      <c r="K68" s="159"/>
      <c r="L68" s="225">
        <v>1760</v>
      </c>
      <c r="M68" s="159">
        <v>69.407199419503399</v>
      </c>
      <c r="N68" s="226">
        <v>1760</v>
      </c>
      <c r="O68" s="227">
        <v>69.407199419503399</v>
      </c>
    </row>
    <row r="69" spans="1:25" x14ac:dyDescent="0.3">
      <c r="A69" s="61" t="s">
        <v>15</v>
      </c>
      <c r="B69" s="64">
        <v>732</v>
      </c>
      <c r="C69" s="159">
        <v>1.85663623169806</v>
      </c>
      <c r="D69" s="225"/>
      <c r="E69" s="159"/>
      <c r="F69" s="225"/>
      <c r="G69" s="159"/>
      <c r="H69" s="225">
        <v>2101</v>
      </c>
      <c r="I69" s="159">
        <v>5.3289518071005704</v>
      </c>
      <c r="J69" s="64">
        <v>1941</v>
      </c>
      <c r="K69" s="159">
        <v>4.9231296799534503</v>
      </c>
      <c r="L69" s="225">
        <v>155197</v>
      </c>
      <c r="M69" s="159">
        <v>393.63985416781901</v>
      </c>
      <c r="N69" s="226">
        <v>159971</v>
      </c>
      <c r="O69" s="227">
        <v>405.74857188657103</v>
      </c>
    </row>
    <row r="70" spans="1:25" x14ac:dyDescent="0.3">
      <c r="A70" s="61" t="s">
        <v>16</v>
      </c>
      <c r="B70" s="64"/>
      <c r="C70" s="159"/>
      <c r="D70" s="225">
        <v>661416</v>
      </c>
      <c r="E70" s="159">
        <v>1977.8121991041201</v>
      </c>
      <c r="F70" s="225">
        <v>313776</v>
      </c>
      <c r="G70" s="159">
        <v>938.2748536263</v>
      </c>
      <c r="H70" s="225"/>
      <c r="I70" s="159"/>
      <c r="J70" s="64"/>
      <c r="K70" s="159"/>
      <c r="L70" s="225">
        <v>191905</v>
      </c>
      <c r="M70" s="159">
        <v>573.84769958554898</v>
      </c>
      <c r="N70" s="226">
        <v>1167097</v>
      </c>
      <c r="O70" s="227">
        <v>3489.9347523159599</v>
      </c>
    </row>
    <row r="71" spans="1:25" x14ac:dyDescent="0.3">
      <c r="A71" s="61" t="s">
        <v>17</v>
      </c>
      <c r="B71" s="64"/>
      <c r="C71" s="159"/>
      <c r="D71" s="225">
        <v>6515</v>
      </c>
      <c r="E71" s="159">
        <v>140.265589610658</v>
      </c>
      <c r="F71" s="225"/>
      <c r="G71" s="159"/>
      <c r="H71" s="225"/>
      <c r="I71" s="159"/>
      <c r="J71" s="64"/>
      <c r="K71" s="159"/>
      <c r="L71" s="225">
        <v>204777</v>
      </c>
      <c r="M71" s="159">
        <v>4408.7746191407095</v>
      </c>
      <c r="N71" s="226">
        <v>211292</v>
      </c>
      <c r="O71" s="227">
        <v>4549.0402087513703</v>
      </c>
    </row>
    <row r="72" spans="1:25" x14ac:dyDescent="0.3">
      <c r="A72" s="61" t="s">
        <v>18</v>
      </c>
      <c r="B72" s="64"/>
      <c r="C72" s="159"/>
      <c r="D72" s="225"/>
      <c r="E72" s="159"/>
      <c r="F72" s="225"/>
      <c r="G72" s="159"/>
      <c r="H72" s="225"/>
      <c r="I72" s="159"/>
      <c r="J72" s="64">
        <v>3683</v>
      </c>
      <c r="K72" s="159">
        <v>23.4614081176599</v>
      </c>
      <c r="L72" s="225">
        <v>7011</v>
      </c>
      <c r="M72" s="159">
        <v>44.661398944586999</v>
      </c>
      <c r="N72" s="226">
        <v>10694</v>
      </c>
      <c r="O72" s="227">
        <v>68.122807062247006</v>
      </c>
    </row>
    <row r="73" spans="1:25" x14ac:dyDescent="0.3">
      <c r="A73" s="61" t="s">
        <v>19</v>
      </c>
      <c r="B73" s="64"/>
      <c r="C73" s="159"/>
      <c r="D73" s="225"/>
      <c r="E73" s="159"/>
      <c r="F73" s="225"/>
      <c r="G73" s="159"/>
      <c r="H73" s="225"/>
      <c r="I73" s="159"/>
      <c r="J73" s="64"/>
      <c r="K73" s="159"/>
      <c r="L73" s="225">
        <v>1035378</v>
      </c>
      <c r="M73" s="159">
        <v>2543.19020195138</v>
      </c>
      <c r="N73" s="226">
        <v>1035378</v>
      </c>
      <c r="O73" s="227">
        <v>2543.19020195138</v>
      </c>
    </row>
    <row r="74" spans="1:25" x14ac:dyDescent="0.3">
      <c r="A74" s="61" t="s">
        <v>20</v>
      </c>
      <c r="B74" s="64"/>
      <c r="C74" s="159"/>
      <c r="D74" s="225"/>
      <c r="E74" s="159"/>
      <c r="F74" s="225"/>
      <c r="G74" s="159"/>
      <c r="H74" s="225"/>
      <c r="I74" s="159"/>
      <c r="J74" s="64"/>
      <c r="K74" s="159"/>
      <c r="L74" s="225"/>
      <c r="M74" s="159"/>
      <c r="N74" s="226"/>
      <c r="O74" s="227"/>
    </row>
    <row r="75" spans="1:25" ht="14.5" thickBot="1" x14ac:dyDescent="0.35">
      <c r="A75" s="58" t="s">
        <v>1</v>
      </c>
      <c r="B75" s="63">
        <v>351082</v>
      </c>
      <c r="C75" s="160">
        <v>75.176012641866095</v>
      </c>
      <c r="D75" s="228">
        <v>1636938</v>
      </c>
      <c r="E75" s="160">
        <v>350.51205069457001</v>
      </c>
      <c r="F75" s="228">
        <v>1856517</v>
      </c>
      <c r="G75" s="160">
        <v>397.52976644157002</v>
      </c>
      <c r="H75" s="228">
        <v>559125</v>
      </c>
      <c r="I75" s="160">
        <v>119.72356335096499</v>
      </c>
      <c r="J75" s="63">
        <v>1340183</v>
      </c>
      <c r="K75" s="160">
        <v>286.96889658374403</v>
      </c>
      <c r="L75" s="228">
        <v>5565618</v>
      </c>
      <c r="M75" s="160">
        <v>1191.7471392090699</v>
      </c>
      <c r="N75" s="228">
        <v>11309463</v>
      </c>
      <c r="O75" s="229">
        <v>2421.6574289217801</v>
      </c>
    </row>
    <row r="78" spans="1:25" ht="29.25" customHeight="1" x14ac:dyDescent="0.3">
      <c r="A78" s="478" t="s">
        <v>243</v>
      </c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M78" s="243"/>
    </row>
    <row r="79" spans="1:25" ht="14.5" thickBot="1" x14ac:dyDescent="0.35"/>
    <row r="80" spans="1:25" x14ac:dyDescent="0.3">
      <c r="A80" s="565" t="s">
        <v>2</v>
      </c>
      <c r="B80" s="567" t="s">
        <v>70</v>
      </c>
      <c r="C80" s="567" t="s">
        <v>25</v>
      </c>
      <c r="D80" s="567" t="s">
        <v>25</v>
      </c>
      <c r="E80" s="567" t="s">
        <v>25</v>
      </c>
      <c r="F80" s="567" t="s">
        <v>25</v>
      </c>
      <c r="G80" s="567" t="s">
        <v>25</v>
      </c>
      <c r="H80" s="567" t="s">
        <v>25</v>
      </c>
      <c r="I80" s="567" t="s">
        <v>25</v>
      </c>
      <c r="J80" s="630" t="s">
        <v>71</v>
      </c>
      <c r="K80" s="631"/>
      <c r="L80" s="631"/>
      <c r="M80" s="631"/>
      <c r="N80" s="631"/>
      <c r="O80" s="631"/>
      <c r="P80" s="631"/>
      <c r="Q80" s="632"/>
      <c r="R80" s="630" t="s">
        <v>181</v>
      </c>
      <c r="S80" s="631"/>
      <c r="T80" s="631"/>
      <c r="U80" s="631"/>
      <c r="V80" s="631"/>
      <c r="W80" s="631"/>
      <c r="X80" s="631"/>
      <c r="Y80" s="632"/>
    </row>
    <row r="81" spans="1:25" ht="14.25" customHeight="1" x14ac:dyDescent="0.3">
      <c r="A81" s="566"/>
      <c r="B81" s="569" t="s">
        <v>27</v>
      </c>
      <c r="C81" s="569" t="s">
        <v>27</v>
      </c>
      <c r="D81" s="569" t="s">
        <v>27</v>
      </c>
      <c r="E81" s="569" t="s">
        <v>27</v>
      </c>
      <c r="F81" s="569" t="s">
        <v>27</v>
      </c>
      <c r="G81" s="569" t="s">
        <v>27</v>
      </c>
      <c r="H81" s="569" t="s">
        <v>27</v>
      </c>
      <c r="I81" s="569" t="s">
        <v>73</v>
      </c>
      <c r="J81" s="625" t="s">
        <v>48</v>
      </c>
      <c r="K81" s="626"/>
      <c r="L81" s="626"/>
      <c r="M81" s="626"/>
      <c r="N81" s="626"/>
      <c r="O81" s="626"/>
      <c r="P81" s="627"/>
      <c r="Q81" s="628" t="s">
        <v>72</v>
      </c>
      <c r="R81" s="625" t="s">
        <v>48</v>
      </c>
      <c r="S81" s="626"/>
      <c r="T81" s="626"/>
      <c r="U81" s="626"/>
      <c r="V81" s="626"/>
      <c r="W81" s="626"/>
      <c r="X81" s="627"/>
      <c r="Y81" s="628" t="s">
        <v>182</v>
      </c>
    </row>
    <row r="82" spans="1:25" x14ac:dyDescent="0.3">
      <c r="A82" s="566"/>
      <c r="B82" s="175" t="s">
        <v>28</v>
      </c>
      <c r="C82" s="175" t="s">
        <v>29</v>
      </c>
      <c r="D82" s="175" t="s">
        <v>30</v>
      </c>
      <c r="E82" s="175" t="s">
        <v>31</v>
      </c>
      <c r="F82" s="175" t="s">
        <v>32</v>
      </c>
      <c r="G82" s="175" t="s">
        <v>74</v>
      </c>
      <c r="H82" s="175" t="s">
        <v>75</v>
      </c>
      <c r="I82" s="569"/>
      <c r="J82" s="175" t="s">
        <v>28</v>
      </c>
      <c r="K82" s="175" t="s">
        <v>29</v>
      </c>
      <c r="L82" s="175" t="s">
        <v>30</v>
      </c>
      <c r="M82" s="175" t="s">
        <v>31</v>
      </c>
      <c r="N82" s="175" t="s">
        <v>32</v>
      </c>
      <c r="O82" s="175" t="s">
        <v>74</v>
      </c>
      <c r="P82" s="175" t="s">
        <v>75</v>
      </c>
      <c r="Q82" s="629"/>
      <c r="R82" s="175" t="s">
        <v>28</v>
      </c>
      <c r="S82" s="175" t="s">
        <v>29</v>
      </c>
      <c r="T82" s="175" t="s">
        <v>30</v>
      </c>
      <c r="U82" s="175" t="s">
        <v>31</v>
      </c>
      <c r="V82" s="175" t="s">
        <v>32</v>
      </c>
      <c r="W82" s="175" t="s">
        <v>74</v>
      </c>
      <c r="X82" s="175" t="s">
        <v>75</v>
      </c>
      <c r="Y82" s="629"/>
    </row>
    <row r="83" spans="1:25" x14ac:dyDescent="0.3">
      <c r="A83" s="241" t="s">
        <v>3</v>
      </c>
      <c r="B83" s="148">
        <v>528.34615384615404</v>
      </c>
      <c r="C83" s="148">
        <v>1087.8412698412701</v>
      </c>
      <c r="D83" s="148">
        <v>1595.1960784313701</v>
      </c>
      <c r="E83" s="148">
        <v>1851.5384615384601</v>
      </c>
      <c r="F83" s="148">
        <v>2268.1863207547199</v>
      </c>
      <c r="G83" s="148">
        <v>3063.8832487309601</v>
      </c>
      <c r="H83" s="148">
        <v>4032.5614035087701</v>
      </c>
      <c r="I83" s="161">
        <v>2037.6784260515601</v>
      </c>
      <c r="J83" s="148">
        <v>459.90384615384602</v>
      </c>
      <c r="K83" s="148">
        <v>956.42253521126804</v>
      </c>
      <c r="L83" s="148">
        <v>1323.8461538461499</v>
      </c>
      <c r="M83" s="148">
        <v>1762.92528735632</v>
      </c>
      <c r="N83" s="148">
        <v>2297.15891472868</v>
      </c>
      <c r="O83" s="148">
        <v>2938.5182481751799</v>
      </c>
      <c r="P83" s="148">
        <v>3987.6610169491501</v>
      </c>
      <c r="Q83" s="242">
        <v>2077.8574821852699</v>
      </c>
      <c r="R83" s="148">
        <v>494.125</v>
      </c>
      <c r="S83" s="148">
        <v>1051.95384615385</v>
      </c>
      <c r="T83" s="148">
        <v>1511.4915254237301</v>
      </c>
      <c r="U83" s="148">
        <v>1822.1695238095199</v>
      </c>
      <c r="V83" s="148">
        <v>2279.14662756598</v>
      </c>
      <c r="W83" s="148">
        <v>3012.4610778443098</v>
      </c>
      <c r="X83" s="148">
        <v>4009.7241379310299</v>
      </c>
      <c r="Y83" s="242">
        <v>2052.2858376511199</v>
      </c>
    </row>
    <row r="84" spans="1:25" x14ac:dyDescent="0.3">
      <c r="A84" s="241" t="s">
        <v>4</v>
      </c>
      <c r="B84" s="148">
        <v>576.29999999999995</v>
      </c>
      <c r="C84" s="148">
        <v>733</v>
      </c>
      <c r="D84" s="148">
        <v>1464.3333333333301</v>
      </c>
      <c r="E84" s="148">
        <v>1712.4166666666699</v>
      </c>
      <c r="F84" s="148">
        <v>1479.78947368421</v>
      </c>
      <c r="G84" s="148">
        <v>926.33333333333303</v>
      </c>
      <c r="H84" s="148">
        <v>2974</v>
      </c>
      <c r="I84" s="161">
        <v>1278.3620689655199</v>
      </c>
      <c r="J84" s="148">
        <v>395.28571428571399</v>
      </c>
      <c r="K84" s="148">
        <v>601.16666666666697</v>
      </c>
      <c r="L84" s="148">
        <v>79.5</v>
      </c>
      <c r="M84" s="148">
        <v>1095</v>
      </c>
      <c r="N84" s="148">
        <v>1118.6666666666699</v>
      </c>
      <c r="O84" s="148">
        <v>2379.7777777777801</v>
      </c>
      <c r="P84" s="148">
        <v>3382</v>
      </c>
      <c r="Q84" s="242">
        <v>1196.73170731707</v>
      </c>
      <c r="R84" s="148">
        <v>501.76470588235298</v>
      </c>
      <c r="S84" s="148">
        <v>680.26666666666699</v>
      </c>
      <c r="T84" s="148">
        <v>910.4</v>
      </c>
      <c r="U84" s="148">
        <v>1484.94736842105</v>
      </c>
      <c r="V84" s="148">
        <v>1363.7142857142901</v>
      </c>
      <c r="W84" s="148">
        <v>2016.4166666666699</v>
      </c>
      <c r="X84" s="148">
        <v>3110</v>
      </c>
      <c r="Y84" s="242">
        <v>1244.55555555556</v>
      </c>
    </row>
    <row r="85" spans="1:25" x14ac:dyDescent="0.3">
      <c r="A85" s="241" t="s">
        <v>5</v>
      </c>
      <c r="B85" s="148">
        <v>251.84184914841899</v>
      </c>
      <c r="C85" s="148">
        <v>380.99076406381198</v>
      </c>
      <c r="D85" s="148">
        <v>513.11602209944795</v>
      </c>
      <c r="E85" s="148">
        <v>602.71160042964596</v>
      </c>
      <c r="F85" s="148">
        <v>743.03823529411795</v>
      </c>
      <c r="G85" s="148">
        <v>831.67628865979395</v>
      </c>
      <c r="H85" s="148">
        <v>1091.97894736842</v>
      </c>
      <c r="I85" s="161">
        <v>594.09470013946998</v>
      </c>
      <c r="J85" s="148">
        <v>192.76</v>
      </c>
      <c r="K85" s="148">
        <v>325.68128654970798</v>
      </c>
      <c r="L85" s="148">
        <v>350.73757455268401</v>
      </c>
      <c r="M85" s="148">
        <v>592.44575936883598</v>
      </c>
      <c r="N85" s="148">
        <v>612.56946354883098</v>
      </c>
      <c r="O85" s="148">
        <v>916.64721485411098</v>
      </c>
      <c r="P85" s="148">
        <v>1405.7419354838701</v>
      </c>
      <c r="Q85" s="242">
        <v>511.119734384727</v>
      </c>
      <c r="R85" s="148">
        <v>214.13556338028201</v>
      </c>
      <c r="S85" s="148">
        <v>360.81386666666702</v>
      </c>
      <c r="T85" s="148">
        <v>461.71491504090602</v>
      </c>
      <c r="U85" s="148">
        <v>599.09214186370002</v>
      </c>
      <c r="V85" s="148">
        <v>688.74470520892999</v>
      </c>
      <c r="W85" s="148">
        <v>868.83874709976806</v>
      </c>
      <c r="X85" s="148">
        <v>1215.88535031847</v>
      </c>
      <c r="Y85" s="242">
        <v>560.74276420051694</v>
      </c>
    </row>
    <row r="86" spans="1:25" x14ac:dyDescent="0.3">
      <c r="A86" s="241" t="s">
        <v>23</v>
      </c>
      <c r="B86" s="148">
        <v>225.03571428571399</v>
      </c>
      <c r="C86" s="148">
        <v>361.186440677966</v>
      </c>
      <c r="D86" s="148">
        <v>521.15384615384596</v>
      </c>
      <c r="E86" s="148">
        <v>923.64150943396203</v>
      </c>
      <c r="F86" s="148">
        <v>1328.9</v>
      </c>
      <c r="G86" s="148">
        <v>100.357142857143</v>
      </c>
      <c r="H86" s="148">
        <v>1995.75</v>
      </c>
      <c r="I86" s="161">
        <v>719.94023904382504</v>
      </c>
      <c r="J86" s="148">
        <v>261.48484848484901</v>
      </c>
      <c r="K86" s="148">
        <v>229.243243243243</v>
      </c>
      <c r="L86" s="148">
        <v>390.777777777778</v>
      </c>
      <c r="M86" s="148">
        <v>353.21621621621603</v>
      </c>
      <c r="N86" s="148">
        <v>918.5</v>
      </c>
      <c r="O86" s="148">
        <v>617.95833333333303</v>
      </c>
      <c r="P86" s="148">
        <v>62.428571428571402</v>
      </c>
      <c r="Q86" s="242">
        <v>455.21428571428601</v>
      </c>
      <c r="R86" s="148">
        <v>244.754098360656</v>
      </c>
      <c r="S86" s="148">
        <v>310.33333333333297</v>
      </c>
      <c r="T86" s="148">
        <v>479.98245614035102</v>
      </c>
      <c r="U86" s="148">
        <v>689.13333333333298</v>
      </c>
      <c r="V86" s="148">
        <v>1146.5</v>
      </c>
      <c r="W86" s="148">
        <v>427.26315789473699</v>
      </c>
      <c r="X86" s="148">
        <v>1093.5333333333299</v>
      </c>
      <c r="Y86" s="242">
        <v>603.86353467561503</v>
      </c>
    </row>
    <row r="87" spans="1:25" x14ac:dyDescent="0.3">
      <c r="A87" s="241" t="s">
        <v>24</v>
      </c>
      <c r="B87" s="148">
        <v>272.26666666666699</v>
      </c>
      <c r="C87" s="148">
        <v>345.65714285714301</v>
      </c>
      <c r="D87" s="148">
        <v>782.4</v>
      </c>
      <c r="E87" s="148">
        <v>577.56666666666695</v>
      </c>
      <c r="F87" s="148">
        <v>946.67567567567596</v>
      </c>
      <c r="G87" s="148">
        <v>469</v>
      </c>
      <c r="H87" s="148"/>
      <c r="I87" s="161">
        <v>611.36428571428598</v>
      </c>
      <c r="J87" s="148">
        <v>224.416666666667</v>
      </c>
      <c r="K87" s="148">
        <v>388.5</v>
      </c>
      <c r="L87" s="148">
        <v>367.21428571428601</v>
      </c>
      <c r="M87" s="148">
        <v>415.32</v>
      </c>
      <c r="N87" s="148">
        <v>1723</v>
      </c>
      <c r="O87" s="148"/>
      <c r="P87" s="148"/>
      <c r="Q87" s="242">
        <v>491.442105263158</v>
      </c>
      <c r="R87" s="148">
        <v>242.82051282051299</v>
      </c>
      <c r="S87" s="148">
        <v>362.19298245613999</v>
      </c>
      <c r="T87" s="148">
        <v>611.44117647058795</v>
      </c>
      <c r="U87" s="148">
        <v>503.81818181818198</v>
      </c>
      <c r="V87" s="148">
        <v>1111.8510638297901</v>
      </c>
      <c r="W87" s="148">
        <v>469</v>
      </c>
      <c r="X87" s="148"/>
      <c r="Y87" s="242">
        <v>562.88510638297896</v>
      </c>
    </row>
    <row r="88" spans="1:25" x14ac:dyDescent="0.3">
      <c r="A88" s="241" t="s">
        <v>6</v>
      </c>
      <c r="B88" s="148">
        <v>396.48611111111097</v>
      </c>
      <c r="C88" s="148">
        <v>628.00395256917</v>
      </c>
      <c r="D88" s="148">
        <v>839.60994764397901</v>
      </c>
      <c r="E88" s="148">
        <v>1062.5085910652899</v>
      </c>
      <c r="F88" s="148">
        <v>1347.625</v>
      </c>
      <c r="G88" s="148">
        <v>1644.09473684211</v>
      </c>
      <c r="H88" s="148">
        <v>2952.2222222222199</v>
      </c>
      <c r="I88" s="161">
        <v>1064.92732702837</v>
      </c>
      <c r="J88" s="148">
        <v>373.70714285714303</v>
      </c>
      <c r="K88" s="148">
        <v>651.08955223880605</v>
      </c>
      <c r="L88" s="148">
        <v>873.47023809523796</v>
      </c>
      <c r="M88" s="148">
        <v>972.37959183673502</v>
      </c>
      <c r="N88" s="148">
        <v>1229.8688888888901</v>
      </c>
      <c r="O88" s="148">
        <v>1852.7441860465101</v>
      </c>
      <c r="P88" s="148">
        <v>1798.5</v>
      </c>
      <c r="Q88" s="242">
        <v>1015.5484133441799</v>
      </c>
      <c r="R88" s="148">
        <v>381.44339622641502</v>
      </c>
      <c r="S88" s="148">
        <v>635.99741602067195</v>
      </c>
      <c r="T88" s="148">
        <v>849.95272727272697</v>
      </c>
      <c r="U88" s="148">
        <v>1035.80773881499</v>
      </c>
      <c r="V88" s="148">
        <v>1297.91557223265</v>
      </c>
      <c r="W88" s="148">
        <v>1743.2320441989</v>
      </c>
      <c r="X88" s="148">
        <v>2490.7333333333299</v>
      </c>
      <c r="Y88" s="242">
        <v>1046.18529956763</v>
      </c>
    </row>
    <row r="89" spans="1:25" x14ac:dyDescent="0.3">
      <c r="A89" s="241" t="s">
        <v>22</v>
      </c>
      <c r="B89" s="148">
        <v>365.10526315789502</v>
      </c>
      <c r="C89" s="148">
        <v>655.21951219512198</v>
      </c>
      <c r="D89" s="148">
        <v>906.36666666666702</v>
      </c>
      <c r="E89" s="148">
        <v>890.857142857143</v>
      </c>
      <c r="F89" s="148">
        <v>611.96153846153902</v>
      </c>
      <c r="G89" s="148">
        <v>1519.8</v>
      </c>
      <c r="H89" s="148">
        <v>1772.5</v>
      </c>
      <c r="I89" s="161">
        <v>754.60126582278497</v>
      </c>
      <c r="J89" s="148">
        <v>389.42857142857099</v>
      </c>
      <c r="K89" s="148">
        <v>492</v>
      </c>
      <c r="L89" s="148">
        <v>519.46428571428601</v>
      </c>
      <c r="M89" s="148">
        <v>1092.5185185185201</v>
      </c>
      <c r="N89" s="148">
        <v>607.19047619047603</v>
      </c>
      <c r="O89" s="148">
        <v>1559.5</v>
      </c>
      <c r="P89" s="148"/>
      <c r="Q89" s="242">
        <v>680.18446601941798</v>
      </c>
      <c r="R89" s="148">
        <v>377.875</v>
      </c>
      <c r="S89" s="148">
        <v>640.71111111111099</v>
      </c>
      <c r="T89" s="148">
        <v>719.58620689655197</v>
      </c>
      <c r="U89" s="148">
        <v>978.677419354839</v>
      </c>
      <c r="V89" s="148">
        <v>609.82978723404301</v>
      </c>
      <c r="W89" s="148">
        <v>1531.1428571428601</v>
      </c>
      <c r="X89" s="148">
        <v>1772.5</v>
      </c>
      <c r="Y89" s="242">
        <v>725.233716475096</v>
      </c>
    </row>
    <row r="90" spans="1:25" x14ac:dyDescent="0.3">
      <c r="A90" s="241" t="s">
        <v>7</v>
      </c>
      <c r="B90" s="148">
        <v>320.5</v>
      </c>
      <c r="C90" s="148">
        <v>896.79508196721304</v>
      </c>
      <c r="D90" s="148">
        <v>991.02857142857204</v>
      </c>
      <c r="E90" s="148">
        <v>1663.79620853081</v>
      </c>
      <c r="F90" s="148">
        <v>2134.4783950617302</v>
      </c>
      <c r="G90" s="148">
        <v>2499.15671641791</v>
      </c>
      <c r="H90" s="148">
        <v>3023.4838709677401</v>
      </c>
      <c r="I90" s="161">
        <v>1745.5443279313599</v>
      </c>
      <c r="J90" s="148">
        <v>335.14035087719299</v>
      </c>
      <c r="K90" s="148">
        <v>306.73469387755102</v>
      </c>
      <c r="L90" s="148">
        <v>1094.20930232558</v>
      </c>
      <c r="M90" s="148">
        <v>1614.60294117647</v>
      </c>
      <c r="N90" s="148">
        <v>1747.7848101265799</v>
      </c>
      <c r="O90" s="148">
        <v>2183.1777777777802</v>
      </c>
      <c r="P90" s="148">
        <v>3656.7878787878799</v>
      </c>
      <c r="Q90" s="242">
        <v>1845.44827586207</v>
      </c>
      <c r="R90" s="148">
        <v>327.88495575221202</v>
      </c>
      <c r="S90" s="148">
        <v>727.71345029239797</v>
      </c>
      <c r="T90" s="148">
        <v>1015.27322404372</v>
      </c>
      <c r="U90" s="148">
        <v>1651.8064516129</v>
      </c>
      <c r="V90" s="148">
        <v>2007.71991701245</v>
      </c>
      <c r="W90" s="148">
        <v>2340.5799256505602</v>
      </c>
      <c r="X90" s="148">
        <v>3412.9068322981402</v>
      </c>
      <c r="Y90" s="242">
        <v>1782.2400482508999</v>
      </c>
    </row>
    <row r="91" spans="1:25" x14ac:dyDescent="0.3">
      <c r="A91" s="241" t="s">
        <v>8</v>
      </c>
      <c r="B91" s="148">
        <v>252.85806451612899</v>
      </c>
      <c r="C91" s="148">
        <v>445.03687635574801</v>
      </c>
      <c r="D91" s="148">
        <v>672.33080808080797</v>
      </c>
      <c r="E91" s="148">
        <v>812.29127725856699</v>
      </c>
      <c r="F91" s="148">
        <v>1145.6327913279099</v>
      </c>
      <c r="G91" s="148">
        <v>1342.6178861788601</v>
      </c>
      <c r="H91" s="148">
        <v>1563.875</v>
      </c>
      <c r="I91" s="161">
        <v>849.93149664929297</v>
      </c>
      <c r="J91" s="148">
        <v>190.73643410852699</v>
      </c>
      <c r="K91" s="148">
        <v>268.68663594470001</v>
      </c>
      <c r="L91" s="148">
        <v>412.47232472324703</v>
      </c>
      <c r="M91" s="148">
        <v>487.385321100917</v>
      </c>
      <c r="N91" s="148">
        <v>689.23675496688702</v>
      </c>
      <c r="O91" s="148">
        <v>819.53100775193798</v>
      </c>
      <c r="P91" s="148">
        <v>1062.2567567567601</v>
      </c>
      <c r="Q91" s="242">
        <v>537.36543909348404</v>
      </c>
      <c r="R91" s="148">
        <v>214.05084745762699</v>
      </c>
      <c r="S91" s="148">
        <v>388.59439528023597</v>
      </c>
      <c r="T91" s="148">
        <v>566.75112443778096</v>
      </c>
      <c r="U91" s="148">
        <v>680.88218923933198</v>
      </c>
      <c r="V91" s="148">
        <v>940.22056631892701</v>
      </c>
      <c r="W91" s="148">
        <v>1074.8472222222199</v>
      </c>
      <c r="X91" s="148">
        <v>1259.61475409836</v>
      </c>
      <c r="Y91" s="242">
        <v>712.126561199001</v>
      </c>
    </row>
    <row r="92" spans="1:25" x14ac:dyDescent="0.3">
      <c r="A92" s="241" t="s">
        <v>9</v>
      </c>
      <c r="B92" s="148">
        <v>929.18032786885203</v>
      </c>
      <c r="C92" s="148">
        <v>1364.5444444444399</v>
      </c>
      <c r="D92" s="148">
        <v>2247.9241706161101</v>
      </c>
      <c r="E92" s="148">
        <v>2653.6545454545499</v>
      </c>
      <c r="F92" s="148">
        <v>3061.2553191489401</v>
      </c>
      <c r="G92" s="148">
        <v>4590.81884057971</v>
      </c>
      <c r="H92" s="148">
        <v>5202.3725490196102</v>
      </c>
      <c r="I92" s="161">
        <v>2725.0151636073401</v>
      </c>
      <c r="J92" s="148">
        <v>844</v>
      </c>
      <c r="K92" s="148">
        <v>1535.2857142857099</v>
      </c>
      <c r="L92" s="148">
        <v>1864.14</v>
      </c>
      <c r="M92" s="148">
        <v>2312.3932038835001</v>
      </c>
      <c r="N92" s="148">
        <v>3116.9207048458202</v>
      </c>
      <c r="O92" s="148">
        <v>4540.9607843137301</v>
      </c>
      <c r="P92" s="148">
        <v>5103.2948717948702</v>
      </c>
      <c r="Q92" s="242">
        <v>2823.7403508771899</v>
      </c>
      <c r="R92" s="148">
        <v>890.392857142857</v>
      </c>
      <c r="S92" s="148">
        <v>1421.8782287822901</v>
      </c>
      <c r="T92" s="148">
        <v>2124.52090032154</v>
      </c>
      <c r="U92" s="148">
        <v>2522.4981343283598</v>
      </c>
      <c r="V92" s="148">
        <v>3086.0805500982301</v>
      </c>
      <c r="W92" s="148">
        <v>4569.6291666666702</v>
      </c>
      <c r="X92" s="148">
        <v>5142.4651162790697</v>
      </c>
      <c r="Y92" s="242">
        <v>2765.0578747628101</v>
      </c>
    </row>
    <row r="93" spans="1:25" x14ac:dyDescent="0.3">
      <c r="A93" s="241" t="s">
        <v>10</v>
      </c>
      <c r="B93" s="148">
        <v>477.21621621621603</v>
      </c>
      <c r="C93" s="148">
        <v>887.19266055045898</v>
      </c>
      <c r="D93" s="148">
        <v>1431.43956043956</v>
      </c>
      <c r="E93" s="148">
        <v>1578.9432624113499</v>
      </c>
      <c r="F93" s="148">
        <v>2245.97122302158</v>
      </c>
      <c r="G93" s="148">
        <v>3479.5061728395099</v>
      </c>
      <c r="H93" s="148">
        <v>2244.5833333333298</v>
      </c>
      <c r="I93" s="161">
        <v>1783.96393442623</v>
      </c>
      <c r="J93" s="148">
        <v>336.12643678160902</v>
      </c>
      <c r="K93" s="148">
        <v>582.17241379310406</v>
      </c>
      <c r="L93" s="148">
        <v>1154.7962962962999</v>
      </c>
      <c r="M93" s="148">
        <v>1317.1363636363601</v>
      </c>
      <c r="N93" s="148">
        <v>2084.1506849315101</v>
      </c>
      <c r="O93" s="148">
        <v>2465.7076923076902</v>
      </c>
      <c r="P93" s="148">
        <v>1486.3333333333301</v>
      </c>
      <c r="Q93" s="242">
        <v>1418.1567460317499</v>
      </c>
      <c r="R93" s="148">
        <v>378.22580645161298</v>
      </c>
      <c r="S93" s="148">
        <v>781.25748502993997</v>
      </c>
      <c r="T93" s="148">
        <v>1328.41379310345</v>
      </c>
      <c r="U93" s="148">
        <v>1478.33624454148</v>
      </c>
      <c r="V93" s="148">
        <v>2163.0736842105298</v>
      </c>
      <c r="W93" s="148">
        <v>3028.1575342465799</v>
      </c>
      <c r="X93" s="148">
        <v>1991.8333333333301</v>
      </c>
      <c r="Y93" s="242">
        <v>1618.46409335727</v>
      </c>
    </row>
    <row r="94" spans="1:25" x14ac:dyDescent="0.3">
      <c r="A94" s="241" t="s">
        <v>11</v>
      </c>
      <c r="B94" s="148">
        <v>184.63513513513499</v>
      </c>
      <c r="C94" s="148">
        <v>542.45744680851101</v>
      </c>
      <c r="D94" s="148">
        <v>993.96218487395004</v>
      </c>
      <c r="E94" s="148">
        <v>1453.16459627329</v>
      </c>
      <c r="F94" s="148">
        <v>2063.0256410256402</v>
      </c>
      <c r="G94" s="148">
        <v>1923.0859375</v>
      </c>
      <c r="H94" s="148">
        <v>2151.23076923077</v>
      </c>
      <c r="I94" s="161">
        <v>1398.7328358208999</v>
      </c>
      <c r="J94" s="148">
        <v>278.81415929203501</v>
      </c>
      <c r="K94" s="148">
        <v>573.97637795275602</v>
      </c>
      <c r="L94" s="148">
        <v>667.84105960264901</v>
      </c>
      <c r="M94" s="148">
        <v>1092.6124401913901</v>
      </c>
      <c r="N94" s="148">
        <v>1702.3258928571399</v>
      </c>
      <c r="O94" s="148">
        <v>1784.1880341880301</v>
      </c>
      <c r="P94" s="148">
        <v>1606.5925925925901</v>
      </c>
      <c r="Q94" s="242">
        <v>1116.0080402010101</v>
      </c>
      <c r="R94" s="148">
        <v>241.54545454545499</v>
      </c>
      <c r="S94" s="148">
        <v>555.16507936507901</v>
      </c>
      <c r="T94" s="148">
        <v>867.37017994858604</v>
      </c>
      <c r="U94" s="148">
        <v>1311.2523540489599</v>
      </c>
      <c r="V94" s="148">
        <v>1922.50956521739</v>
      </c>
      <c r="W94" s="148">
        <v>1856.75510204082</v>
      </c>
      <c r="X94" s="148">
        <v>1834.98924731183</v>
      </c>
      <c r="Y94" s="242">
        <v>1278.25695931478</v>
      </c>
    </row>
    <row r="95" spans="1:25" x14ac:dyDescent="0.3">
      <c r="A95" s="241" t="s">
        <v>12</v>
      </c>
      <c r="B95" s="148">
        <v>223.318518518519</v>
      </c>
      <c r="C95" s="148">
        <v>458.60091047040999</v>
      </c>
      <c r="D95" s="148">
        <v>587.92035398230098</v>
      </c>
      <c r="E95" s="148">
        <v>738.57071213640904</v>
      </c>
      <c r="F95" s="148">
        <v>1031.75710900474</v>
      </c>
      <c r="G95" s="148">
        <v>1344.7777777777801</v>
      </c>
      <c r="H95" s="148">
        <v>1433.8139534883701</v>
      </c>
      <c r="I95" s="161">
        <v>741.18416844349701</v>
      </c>
      <c r="J95" s="148">
        <v>225.80952380952399</v>
      </c>
      <c r="K95" s="148">
        <v>335.87073170731702</v>
      </c>
      <c r="L95" s="148">
        <v>474.39694656488501</v>
      </c>
      <c r="M95" s="148">
        <v>665.662773722628</v>
      </c>
      <c r="N95" s="148">
        <v>617.56490384615404</v>
      </c>
      <c r="O95" s="148">
        <v>724.15342465753395</v>
      </c>
      <c r="P95" s="148">
        <v>1011.7125</v>
      </c>
      <c r="Q95" s="242">
        <v>536.24931171612104</v>
      </c>
      <c r="R95" s="148">
        <v>224.94056847545201</v>
      </c>
      <c r="S95" s="148">
        <v>411.52946679139399</v>
      </c>
      <c r="T95" s="148">
        <v>546.26330532212899</v>
      </c>
      <c r="U95" s="148">
        <v>708.87871581450702</v>
      </c>
      <c r="V95" s="148">
        <v>826.14379474940301</v>
      </c>
      <c r="W95" s="148">
        <v>982.91214057508</v>
      </c>
      <c r="X95" s="148">
        <v>1159.2764227642299</v>
      </c>
      <c r="Y95" s="242">
        <v>645.76584532117897</v>
      </c>
    </row>
    <row r="96" spans="1:25" x14ac:dyDescent="0.3">
      <c r="A96" s="241" t="s">
        <v>13</v>
      </c>
      <c r="B96" s="148"/>
      <c r="C96" s="148"/>
      <c r="D96" s="148"/>
      <c r="E96" s="148"/>
      <c r="F96" s="148"/>
      <c r="G96" s="148"/>
      <c r="H96" s="148"/>
      <c r="I96" s="161"/>
      <c r="J96" s="148"/>
      <c r="K96" s="148"/>
      <c r="L96" s="148"/>
      <c r="M96" s="148"/>
      <c r="N96" s="148"/>
      <c r="O96" s="148"/>
      <c r="P96" s="148"/>
      <c r="Q96" s="242"/>
      <c r="R96" s="148"/>
      <c r="S96" s="148"/>
      <c r="T96" s="148"/>
      <c r="U96" s="148"/>
      <c r="V96" s="148"/>
      <c r="W96" s="148"/>
      <c r="X96" s="148"/>
      <c r="Y96" s="242"/>
    </row>
    <row r="97" spans="1:25" x14ac:dyDescent="0.3">
      <c r="A97" s="241" t="s">
        <v>14</v>
      </c>
      <c r="B97" s="148"/>
      <c r="C97" s="148">
        <v>365</v>
      </c>
      <c r="D97" s="148">
        <v>365</v>
      </c>
      <c r="E97" s="148">
        <v>295</v>
      </c>
      <c r="F97" s="148"/>
      <c r="G97" s="148"/>
      <c r="H97" s="148"/>
      <c r="I97" s="161">
        <v>341.66666666666703</v>
      </c>
      <c r="J97" s="148"/>
      <c r="K97" s="148"/>
      <c r="L97" s="148">
        <v>365</v>
      </c>
      <c r="M97" s="148"/>
      <c r="N97" s="148">
        <v>365</v>
      </c>
      <c r="O97" s="148"/>
      <c r="P97" s="148"/>
      <c r="Q97" s="242">
        <v>365</v>
      </c>
      <c r="R97" s="148"/>
      <c r="S97" s="148">
        <v>365</v>
      </c>
      <c r="T97" s="148">
        <v>365</v>
      </c>
      <c r="U97" s="148">
        <v>295</v>
      </c>
      <c r="V97" s="148">
        <v>365</v>
      </c>
      <c r="W97" s="148"/>
      <c r="X97" s="148"/>
      <c r="Y97" s="242">
        <v>351</v>
      </c>
    </row>
    <row r="98" spans="1:25" x14ac:dyDescent="0.3">
      <c r="A98" s="241" t="s">
        <v>15</v>
      </c>
      <c r="B98" s="148">
        <v>335.23529411764702</v>
      </c>
      <c r="C98" s="148">
        <v>784.659574468085</v>
      </c>
      <c r="D98" s="148">
        <v>654.08333333333303</v>
      </c>
      <c r="E98" s="148">
        <v>1422.21333333333</v>
      </c>
      <c r="F98" s="148">
        <v>1006.375</v>
      </c>
      <c r="G98" s="148">
        <v>1449.92592592593</v>
      </c>
      <c r="H98" s="148">
        <v>281.8</v>
      </c>
      <c r="I98" s="161">
        <v>1009.05351170569</v>
      </c>
      <c r="J98" s="148">
        <v>618.27586206896501</v>
      </c>
      <c r="K98" s="148">
        <v>644.94117647058795</v>
      </c>
      <c r="L98" s="148">
        <v>944.05714285714305</v>
      </c>
      <c r="M98" s="148">
        <v>706.15094339622704</v>
      </c>
      <c r="N98" s="148">
        <v>942.513513513514</v>
      </c>
      <c r="O98" s="148">
        <v>962.35294117647095</v>
      </c>
      <c r="P98" s="148">
        <v>785.63636363636397</v>
      </c>
      <c r="Q98" s="242">
        <v>820.12592592592603</v>
      </c>
      <c r="R98" s="148">
        <v>513.67391304347802</v>
      </c>
      <c r="S98" s="148">
        <v>726.01234567901201</v>
      </c>
      <c r="T98" s="148">
        <v>776.36144578313304</v>
      </c>
      <c r="U98" s="148">
        <v>1125.71875</v>
      </c>
      <c r="V98" s="148">
        <v>975.68831168831196</v>
      </c>
      <c r="W98" s="148">
        <v>1178.1639344262301</v>
      </c>
      <c r="X98" s="148">
        <v>628.1875</v>
      </c>
      <c r="Y98" s="242">
        <v>919.40421792618599</v>
      </c>
    </row>
    <row r="99" spans="1:25" x14ac:dyDescent="0.3">
      <c r="A99" s="241" t="s">
        <v>16</v>
      </c>
      <c r="B99" s="148">
        <v>526.67289719626206</v>
      </c>
      <c r="C99" s="148">
        <v>851.54415954416004</v>
      </c>
      <c r="D99" s="148">
        <v>1322.0303687635601</v>
      </c>
      <c r="E99" s="148">
        <v>1516.95400593472</v>
      </c>
      <c r="F99" s="148">
        <v>1995.6119186046501</v>
      </c>
      <c r="G99" s="148">
        <v>2503.4409448818901</v>
      </c>
      <c r="H99" s="148">
        <v>3366.7142857142899</v>
      </c>
      <c r="I99" s="161">
        <v>1543.3297653355301</v>
      </c>
      <c r="J99" s="148">
        <v>566.691358024691</v>
      </c>
      <c r="K99" s="148">
        <v>892.96491228070204</v>
      </c>
      <c r="L99" s="148">
        <v>1129.47894736842</v>
      </c>
      <c r="M99" s="148">
        <v>1731.39255014327</v>
      </c>
      <c r="N99" s="148">
        <v>1891.98771498771</v>
      </c>
      <c r="O99" s="148">
        <v>2664.4428571428598</v>
      </c>
      <c r="P99" s="148">
        <v>3249</v>
      </c>
      <c r="Q99" s="242">
        <v>1596.2210353327901</v>
      </c>
      <c r="R99" s="148">
        <v>543.91489361702099</v>
      </c>
      <c r="S99" s="148">
        <v>861.69892473118296</v>
      </c>
      <c r="T99" s="148">
        <v>1265.83256528418</v>
      </c>
      <c r="U99" s="148">
        <v>1590.11045943304</v>
      </c>
      <c r="V99" s="148">
        <v>1957.09589041096</v>
      </c>
      <c r="W99" s="148">
        <v>2560.6497461928898</v>
      </c>
      <c r="X99" s="148">
        <v>3340.5555555555602</v>
      </c>
      <c r="Y99" s="242">
        <v>1560.9843664289599</v>
      </c>
    </row>
    <row r="100" spans="1:25" x14ac:dyDescent="0.3">
      <c r="A100" s="241" t="s">
        <v>17</v>
      </c>
      <c r="B100" s="148">
        <v>229</v>
      </c>
      <c r="C100" s="148"/>
      <c r="D100" s="148">
        <v>1316.03225806452</v>
      </c>
      <c r="E100" s="148">
        <v>2045.9361702127701</v>
      </c>
      <c r="F100" s="148">
        <v>2159.9202898550702</v>
      </c>
      <c r="G100" s="148">
        <v>2922.3636363636401</v>
      </c>
      <c r="H100" s="148">
        <v>3074.0714285714298</v>
      </c>
      <c r="I100" s="161">
        <v>2277.6702702702701</v>
      </c>
      <c r="J100" s="148">
        <v>1659</v>
      </c>
      <c r="K100" s="148">
        <v>78</v>
      </c>
      <c r="L100" s="148">
        <v>1277.5185185185201</v>
      </c>
      <c r="M100" s="148">
        <v>1981.24489795918</v>
      </c>
      <c r="N100" s="148">
        <v>2155.05309734513</v>
      </c>
      <c r="O100" s="148">
        <v>2713.7659574468098</v>
      </c>
      <c r="P100" s="148">
        <v>2784.6666666666702</v>
      </c>
      <c r="Q100" s="242">
        <v>2164.0544747081699</v>
      </c>
      <c r="R100" s="148">
        <v>944</v>
      </c>
      <c r="S100" s="148">
        <v>78</v>
      </c>
      <c r="T100" s="148">
        <v>1298.10344827586</v>
      </c>
      <c r="U100" s="148">
        <v>2023.76923076923</v>
      </c>
      <c r="V100" s="148">
        <v>2157.7290836653401</v>
      </c>
      <c r="W100" s="148">
        <v>2843.2983870967701</v>
      </c>
      <c r="X100" s="148">
        <v>2960.8260869565202</v>
      </c>
      <c r="Y100" s="242">
        <v>2231.1004784688998</v>
      </c>
    </row>
    <row r="101" spans="1:25" x14ac:dyDescent="0.3">
      <c r="A101" s="241" t="s">
        <v>18</v>
      </c>
      <c r="B101" s="148">
        <v>55.5</v>
      </c>
      <c r="C101" s="148">
        <v>353.8</v>
      </c>
      <c r="D101" s="148">
        <v>189.5</v>
      </c>
      <c r="E101" s="148">
        <v>181.21739130434801</v>
      </c>
      <c r="F101" s="148">
        <v>256.92307692307702</v>
      </c>
      <c r="G101" s="148">
        <v>344.5</v>
      </c>
      <c r="H101" s="148"/>
      <c r="I101" s="161">
        <v>216.68421052631601</v>
      </c>
      <c r="J101" s="148">
        <v>146.666666666667</v>
      </c>
      <c r="K101" s="148">
        <v>250</v>
      </c>
      <c r="L101" s="148">
        <v>245</v>
      </c>
      <c r="M101" s="148">
        <v>110</v>
      </c>
      <c r="N101" s="148">
        <v>197.4</v>
      </c>
      <c r="O101" s="148"/>
      <c r="P101" s="148"/>
      <c r="Q101" s="242">
        <v>194</v>
      </c>
      <c r="R101" s="148">
        <v>110.2</v>
      </c>
      <c r="S101" s="148">
        <v>307.66666666666703</v>
      </c>
      <c r="T101" s="148">
        <v>200.6</v>
      </c>
      <c r="U101" s="148">
        <v>173</v>
      </c>
      <c r="V101" s="148">
        <v>240.388888888889</v>
      </c>
      <c r="W101" s="148">
        <v>344.5</v>
      </c>
      <c r="X101" s="148"/>
      <c r="Y101" s="242">
        <v>211.24</v>
      </c>
    </row>
    <row r="102" spans="1:25" x14ac:dyDescent="0.3">
      <c r="A102" s="241" t="s">
        <v>19</v>
      </c>
      <c r="B102" s="148">
        <v>603.304347826087</v>
      </c>
      <c r="C102" s="148">
        <v>1013.38768115942</v>
      </c>
      <c r="D102" s="148">
        <v>1793.2903225806499</v>
      </c>
      <c r="E102" s="148">
        <v>2702.8981191222601</v>
      </c>
      <c r="F102" s="148">
        <v>3940.3793103448302</v>
      </c>
      <c r="G102" s="148">
        <v>7601.4351851851898</v>
      </c>
      <c r="H102" s="148">
        <v>11628</v>
      </c>
      <c r="I102" s="161">
        <v>3411.90218380346</v>
      </c>
      <c r="J102" s="148">
        <v>360.82608695652198</v>
      </c>
      <c r="K102" s="148">
        <v>1222.2888888888899</v>
      </c>
      <c r="L102" s="148">
        <v>1687.49074074074</v>
      </c>
      <c r="M102" s="148">
        <v>2745.9923076923101</v>
      </c>
      <c r="N102" s="148">
        <v>4793.0464396284797</v>
      </c>
      <c r="O102" s="148">
        <v>6990.8789808917199</v>
      </c>
      <c r="P102" s="148">
        <v>11186.0625</v>
      </c>
      <c r="Q102" s="242">
        <v>4269.4068292682896</v>
      </c>
      <c r="R102" s="148">
        <v>522.47826086956502</v>
      </c>
      <c r="S102" s="148">
        <v>1064.7568306010901</v>
      </c>
      <c r="T102" s="148">
        <v>1772.2084870848701</v>
      </c>
      <c r="U102" s="148">
        <v>2715.3752783964401</v>
      </c>
      <c r="V102" s="148">
        <v>4277.8933823529396</v>
      </c>
      <c r="W102" s="148">
        <v>7344.4450402144803</v>
      </c>
      <c r="X102" s="148">
        <v>11450.1132075472</v>
      </c>
      <c r="Y102" s="242">
        <v>3684.6115420415799</v>
      </c>
    </row>
    <row r="103" spans="1:25" x14ac:dyDescent="0.3">
      <c r="A103" s="241" t="s">
        <v>20</v>
      </c>
      <c r="B103" s="148"/>
      <c r="C103" s="148"/>
      <c r="D103" s="148"/>
      <c r="E103" s="148"/>
      <c r="F103" s="148"/>
      <c r="G103" s="148"/>
      <c r="H103" s="148"/>
      <c r="I103" s="161"/>
      <c r="J103" s="148"/>
      <c r="K103" s="148"/>
      <c r="L103" s="148"/>
      <c r="M103" s="148"/>
      <c r="N103" s="148"/>
      <c r="O103" s="148"/>
      <c r="P103" s="148"/>
      <c r="Q103" s="153"/>
      <c r="R103" s="148"/>
      <c r="S103" s="148"/>
      <c r="T103" s="148"/>
      <c r="U103" s="148"/>
      <c r="V103" s="148"/>
      <c r="W103" s="148"/>
      <c r="X103" s="148"/>
      <c r="Y103" s="153"/>
    </row>
    <row r="104" spans="1:25" ht="14.5" thickBot="1" x14ac:dyDescent="0.35">
      <c r="A104" s="4" t="s">
        <v>1</v>
      </c>
      <c r="B104" s="162">
        <v>333.62900976290098</v>
      </c>
      <c r="C104" s="162">
        <v>613.93893678160896</v>
      </c>
      <c r="D104" s="162">
        <v>971.86703662597097</v>
      </c>
      <c r="E104" s="162">
        <v>1234.8386823130199</v>
      </c>
      <c r="F104" s="162">
        <v>1569.17132292523</v>
      </c>
      <c r="G104" s="162">
        <v>2491.6118803037102</v>
      </c>
      <c r="H104" s="162">
        <v>4070.7053726169802</v>
      </c>
      <c r="I104" s="162">
        <v>1301.5495861715401</v>
      </c>
      <c r="J104" s="162">
        <v>272.73665158371</v>
      </c>
      <c r="K104" s="162">
        <v>507.54575011611701</v>
      </c>
      <c r="L104" s="162">
        <v>741.31090909090904</v>
      </c>
      <c r="M104" s="162">
        <v>1082.1542566708999</v>
      </c>
      <c r="N104" s="162">
        <v>1371.50784167289</v>
      </c>
      <c r="O104" s="162">
        <v>2012.0332493702799</v>
      </c>
      <c r="P104" s="162">
        <v>3434.4047999999998</v>
      </c>
      <c r="Q104" s="163">
        <v>1141.1850086655099</v>
      </c>
      <c r="R104" s="162">
        <v>296.699231613611</v>
      </c>
      <c r="S104" s="162">
        <v>577.74608942961004</v>
      </c>
      <c r="T104" s="162">
        <v>896.21849366144704</v>
      </c>
      <c r="U104" s="162">
        <v>1180.2589934593</v>
      </c>
      <c r="V104" s="162">
        <v>1485.5336546057799</v>
      </c>
      <c r="W104" s="162">
        <v>2266.2417140151501</v>
      </c>
      <c r="X104" s="162">
        <v>3739.8502495840298</v>
      </c>
      <c r="Y104" s="163">
        <v>1236.8571771903</v>
      </c>
    </row>
    <row r="107" spans="1:25" ht="28.5" customHeight="1" x14ac:dyDescent="0.3">
      <c r="A107" s="478" t="s">
        <v>244</v>
      </c>
      <c r="B107" s="479"/>
      <c r="C107" s="479"/>
      <c r="D107" s="479"/>
      <c r="E107" s="479"/>
      <c r="F107" s="479"/>
      <c r="G107" s="479"/>
      <c r="H107" s="479"/>
      <c r="I107" s="479"/>
      <c r="J107" s="479"/>
      <c r="K107" s="479"/>
    </row>
    <row r="108" spans="1:25" ht="14.5" thickBot="1" x14ac:dyDescent="0.35"/>
    <row r="109" spans="1:25" ht="14.25" customHeight="1" x14ac:dyDescent="0.3">
      <c r="A109" s="597" t="s">
        <v>2</v>
      </c>
      <c r="B109" s="599" t="s">
        <v>77</v>
      </c>
      <c r="C109" s="600"/>
      <c r="D109" s="600"/>
      <c r="E109" s="600"/>
      <c r="F109" s="600"/>
      <c r="G109" s="601"/>
    </row>
    <row r="110" spans="1:25" ht="27.75" customHeight="1" x14ac:dyDescent="0.3">
      <c r="A110" s="598"/>
      <c r="B110" s="512" t="s">
        <v>51</v>
      </c>
      <c r="C110" s="512"/>
      <c r="D110" s="512" t="s">
        <v>52</v>
      </c>
      <c r="E110" s="512"/>
      <c r="F110" s="512" t="s">
        <v>0</v>
      </c>
      <c r="G110" s="513"/>
    </row>
    <row r="111" spans="1:25" ht="39" x14ac:dyDescent="0.3">
      <c r="A111" s="598"/>
      <c r="B111" s="176" t="s">
        <v>53</v>
      </c>
      <c r="C111" s="176" t="s">
        <v>54</v>
      </c>
      <c r="D111" s="176" t="s">
        <v>53</v>
      </c>
      <c r="E111" s="176" t="s">
        <v>54</v>
      </c>
      <c r="F111" s="176" t="s">
        <v>53</v>
      </c>
      <c r="G111" s="177" t="s">
        <v>54</v>
      </c>
      <c r="H111" s="54"/>
    </row>
    <row r="112" spans="1:25" ht="14.25" customHeight="1" x14ac:dyDescent="0.3">
      <c r="A112" s="55" t="s">
        <v>3</v>
      </c>
      <c r="B112" s="56">
        <v>271</v>
      </c>
      <c r="C112" s="164">
        <v>0.73535457250799596</v>
      </c>
      <c r="D112" s="56">
        <v>11</v>
      </c>
      <c r="E112" s="164">
        <v>2.98483405815054E-2</v>
      </c>
      <c r="F112" s="230">
        <v>282</v>
      </c>
      <c r="G112" s="418">
        <v>0.76520291308950095</v>
      </c>
      <c r="H112" s="54"/>
      <c r="I112" s="54"/>
      <c r="J112" s="54"/>
      <c r="L112" s="54"/>
    </row>
    <row r="113" spans="1:12" ht="14.25" customHeight="1" x14ac:dyDescent="0.3">
      <c r="A113" s="55" t="s">
        <v>4</v>
      </c>
      <c r="B113" s="57">
        <v>17</v>
      </c>
      <c r="C113" s="165">
        <v>1.6049394371382999</v>
      </c>
      <c r="D113" s="57">
        <v>0</v>
      </c>
      <c r="E113" s="165">
        <v>0</v>
      </c>
      <c r="F113" s="231">
        <v>17</v>
      </c>
      <c r="G113" s="419">
        <v>1.6049394371382999</v>
      </c>
      <c r="H113" s="54"/>
      <c r="I113" s="54"/>
      <c r="J113" s="54"/>
      <c r="L113" s="54"/>
    </row>
    <row r="114" spans="1:12" x14ac:dyDescent="0.3">
      <c r="A114" s="55" t="s">
        <v>5</v>
      </c>
      <c r="B114" s="56">
        <v>2936</v>
      </c>
      <c r="C114" s="164">
        <v>3.4303657942990999</v>
      </c>
      <c r="D114" s="56"/>
      <c r="E114" s="164"/>
      <c r="F114" s="230">
        <v>2936</v>
      </c>
      <c r="G114" s="419">
        <v>3.4303657942990999</v>
      </c>
      <c r="H114" s="54"/>
      <c r="I114" s="54"/>
      <c r="J114" s="54"/>
      <c r="L114" s="54"/>
    </row>
    <row r="115" spans="1:12" x14ac:dyDescent="0.3">
      <c r="A115" s="55" t="s">
        <v>23</v>
      </c>
      <c r="B115" s="57">
        <v>197</v>
      </c>
      <c r="C115" s="165">
        <v>4.4324047032988796</v>
      </c>
      <c r="D115" s="57"/>
      <c r="E115" s="165"/>
      <c r="F115" s="231">
        <v>197</v>
      </c>
      <c r="G115" s="419">
        <v>4.4324047032988796</v>
      </c>
      <c r="H115" s="54"/>
      <c r="I115" s="54"/>
      <c r="J115" s="54"/>
      <c r="L115" s="54"/>
    </row>
    <row r="116" spans="1:12" x14ac:dyDescent="0.3">
      <c r="A116" s="55" t="s">
        <v>24</v>
      </c>
      <c r="B116" s="56">
        <v>89</v>
      </c>
      <c r="C116" s="164">
        <v>1.9257733386418301</v>
      </c>
      <c r="D116" s="56"/>
      <c r="E116" s="164"/>
      <c r="F116" s="230">
        <v>89</v>
      </c>
      <c r="G116" s="418">
        <v>1.9257733386418301</v>
      </c>
      <c r="H116" s="54"/>
      <c r="I116" s="54"/>
      <c r="J116" s="54"/>
      <c r="L116" s="54"/>
    </row>
    <row r="117" spans="1:12" x14ac:dyDescent="0.3">
      <c r="A117" s="55" t="s">
        <v>6</v>
      </c>
      <c r="B117" s="56">
        <v>735</v>
      </c>
      <c r="C117" s="164">
        <v>1.76190882565301</v>
      </c>
      <c r="D117" s="56"/>
      <c r="E117" s="164"/>
      <c r="F117" s="230">
        <v>735</v>
      </c>
      <c r="G117" s="418">
        <v>1.76190882565301</v>
      </c>
      <c r="H117" s="54"/>
      <c r="I117" s="54"/>
      <c r="J117" s="54"/>
      <c r="L117" s="54"/>
    </row>
    <row r="118" spans="1:12" x14ac:dyDescent="0.3">
      <c r="A118" s="55" t="s">
        <v>22</v>
      </c>
      <c r="B118" s="56">
        <v>64</v>
      </c>
      <c r="C118" s="164">
        <v>0.73958428429619905</v>
      </c>
      <c r="D118" s="56"/>
      <c r="E118" s="164"/>
      <c r="F118" s="230">
        <v>64</v>
      </c>
      <c r="G118" s="418">
        <v>0.73958428429619905</v>
      </c>
      <c r="H118" s="54"/>
      <c r="I118" s="54"/>
      <c r="J118" s="54"/>
      <c r="L118" s="54"/>
    </row>
    <row r="119" spans="1:12" x14ac:dyDescent="0.3">
      <c r="A119" s="55" t="s">
        <v>7</v>
      </c>
      <c r="B119" s="56">
        <v>249</v>
      </c>
      <c r="C119" s="164">
        <v>2.99405157704753</v>
      </c>
      <c r="D119" s="56"/>
      <c r="E119" s="164"/>
      <c r="F119" s="230">
        <v>249</v>
      </c>
      <c r="G119" s="418">
        <v>2.99405157704753</v>
      </c>
      <c r="H119" s="54"/>
      <c r="I119" s="54"/>
      <c r="J119" s="54"/>
      <c r="L119" s="54"/>
    </row>
    <row r="120" spans="1:12" x14ac:dyDescent="0.3">
      <c r="A120" s="55" t="s">
        <v>8</v>
      </c>
      <c r="B120" s="56">
        <v>1989</v>
      </c>
      <c r="C120" s="164">
        <v>5.1953560986924403</v>
      </c>
      <c r="D120" s="56"/>
      <c r="E120" s="164"/>
      <c r="F120" s="230">
        <v>1989</v>
      </c>
      <c r="G120" s="418">
        <v>5.1953560986924403</v>
      </c>
      <c r="H120" s="54"/>
      <c r="I120" s="54"/>
      <c r="J120" s="54"/>
      <c r="L120" s="54"/>
    </row>
    <row r="121" spans="1:12" x14ac:dyDescent="0.3">
      <c r="A121" s="55" t="s">
        <v>9</v>
      </c>
      <c r="B121" s="56">
        <v>185</v>
      </c>
      <c r="C121" s="164">
        <v>0.58222770390479694</v>
      </c>
      <c r="D121" s="56">
        <v>17</v>
      </c>
      <c r="E121" s="164">
        <v>5.3502005223684E-2</v>
      </c>
      <c r="F121" s="230">
        <v>202</v>
      </c>
      <c r="G121" s="418">
        <v>0.63572970912848104</v>
      </c>
      <c r="H121" s="54"/>
      <c r="I121" s="54"/>
      <c r="J121" s="54"/>
      <c r="L121" s="54"/>
    </row>
    <row r="122" spans="1:12" x14ac:dyDescent="0.3">
      <c r="A122" s="55" t="s">
        <v>10</v>
      </c>
      <c r="B122" s="56">
        <v>240</v>
      </c>
      <c r="C122" s="164">
        <v>3.2442252790033699</v>
      </c>
      <c r="D122" s="56"/>
      <c r="E122" s="164"/>
      <c r="F122" s="230">
        <v>240</v>
      </c>
      <c r="G122" s="418">
        <v>3.2442252790033699</v>
      </c>
      <c r="H122" s="54"/>
      <c r="I122" s="54"/>
      <c r="J122" s="54"/>
      <c r="L122" s="54"/>
    </row>
    <row r="123" spans="1:12" x14ac:dyDescent="0.3">
      <c r="A123" s="55" t="s">
        <v>11</v>
      </c>
      <c r="B123" s="56">
        <v>542</v>
      </c>
      <c r="C123" s="164">
        <v>4.2258770254191997</v>
      </c>
      <c r="D123" s="56">
        <v>186</v>
      </c>
      <c r="E123" s="164">
        <v>1.4502087209003101</v>
      </c>
      <c r="F123" s="230">
        <v>728</v>
      </c>
      <c r="G123" s="418">
        <v>5.6760857463195098</v>
      </c>
      <c r="H123" s="54"/>
      <c r="I123" s="54"/>
      <c r="J123" s="54"/>
      <c r="L123" s="54"/>
    </row>
    <row r="124" spans="1:12" x14ac:dyDescent="0.3">
      <c r="A124" s="55" t="s">
        <v>12</v>
      </c>
      <c r="B124" s="56">
        <v>3227</v>
      </c>
      <c r="C124" s="164">
        <v>6.5830474797454501</v>
      </c>
      <c r="D124" s="56"/>
      <c r="E124" s="164"/>
      <c r="F124" s="230">
        <v>3227</v>
      </c>
      <c r="G124" s="418">
        <v>6.5830474797454501</v>
      </c>
      <c r="H124" s="54"/>
      <c r="I124" s="54"/>
      <c r="J124" s="54"/>
      <c r="L124" s="54"/>
    </row>
    <row r="125" spans="1:12" x14ac:dyDescent="0.3">
      <c r="A125" s="55" t="s">
        <v>13</v>
      </c>
      <c r="B125" s="56"/>
      <c r="C125" s="164"/>
      <c r="D125" s="56"/>
      <c r="E125" s="164"/>
      <c r="F125" s="230"/>
      <c r="G125" s="418"/>
      <c r="H125" s="54"/>
      <c r="I125" s="54"/>
      <c r="J125" s="54"/>
      <c r="L125" s="54"/>
    </row>
    <row r="126" spans="1:12" x14ac:dyDescent="0.3">
      <c r="A126" s="55" t="s">
        <v>14</v>
      </c>
      <c r="B126" s="56">
        <v>5</v>
      </c>
      <c r="C126" s="164">
        <v>0.197179543805407</v>
      </c>
      <c r="D126" s="56"/>
      <c r="E126" s="164"/>
      <c r="F126" s="230">
        <v>5</v>
      </c>
      <c r="G126" s="418">
        <v>0.197179543805407</v>
      </c>
      <c r="H126" s="54"/>
      <c r="I126" s="54"/>
      <c r="J126" s="54"/>
      <c r="L126" s="54"/>
    </row>
    <row r="127" spans="1:12" x14ac:dyDescent="0.3">
      <c r="A127" s="55" t="s">
        <v>15</v>
      </c>
      <c r="B127" s="56">
        <v>204</v>
      </c>
      <c r="C127" s="164">
        <v>0.51742321211257303</v>
      </c>
      <c r="D127" s="56">
        <v>13</v>
      </c>
      <c r="E127" s="164">
        <v>3.2973047830703199E-2</v>
      </c>
      <c r="F127" s="230">
        <v>217</v>
      </c>
      <c r="G127" s="418">
        <v>0.55039625994327601</v>
      </c>
      <c r="H127" s="54"/>
      <c r="I127" s="54"/>
      <c r="J127" s="54"/>
      <c r="L127" s="54"/>
    </row>
    <row r="128" spans="1:12" x14ac:dyDescent="0.3">
      <c r="A128" s="55" t="s">
        <v>16</v>
      </c>
      <c r="B128" s="56">
        <v>400</v>
      </c>
      <c r="C128" s="164">
        <v>1.1961078650072701</v>
      </c>
      <c r="D128" s="56">
        <v>0</v>
      </c>
      <c r="E128" s="164">
        <v>0</v>
      </c>
      <c r="F128" s="230">
        <v>400</v>
      </c>
      <c r="G128" s="418">
        <v>1.1961078650072701</v>
      </c>
      <c r="H128" s="54"/>
      <c r="I128" s="54"/>
      <c r="J128" s="54"/>
      <c r="L128" s="54"/>
    </row>
    <row r="129" spans="1:15" x14ac:dyDescent="0.3">
      <c r="A129" s="55" t="s">
        <v>17</v>
      </c>
      <c r="B129" s="56">
        <v>36</v>
      </c>
      <c r="C129" s="164">
        <v>0.77506695717324503</v>
      </c>
      <c r="D129" s="56"/>
      <c r="E129" s="164"/>
      <c r="F129" s="230">
        <v>36</v>
      </c>
      <c r="G129" s="418">
        <v>0.77506695717324503</v>
      </c>
      <c r="H129" s="54"/>
      <c r="I129" s="54"/>
      <c r="J129" s="54"/>
      <c r="L129" s="54"/>
    </row>
    <row r="130" spans="1:15" x14ac:dyDescent="0.3">
      <c r="A130" s="55" t="s">
        <v>18</v>
      </c>
      <c r="B130" s="56">
        <v>48</v>
      </c>
      <c r="C130" s="164">
        <v>0.30576909846529399</v>
      </c>
      <c r="D130" s="56"/>
      <c r="E130" s="164"/>
      <c r="F130" s="230">
        <v>48</v>
      </c>
      <c r="G130" s="418">
        <v>0.30576909846529399</v>
      </c>
      <c r="H130" s="54"/>
      <c r="I130" s="54"/>
      <c r="J130" s="54"/>
      <c r="L130" s="54"/>
    </row>
    <row r="131" spans="1:15" x14ac:dyDescent="0.3">
      <c r="A131" s="55" t="s">
        <v>19</v>
      </c>
      <c r="B131" s="56">
        <v>362</v>
      </c>
      <c r="C131" s="164">
        <v>0.88917753043467995</v>
      </c>
      <c r="D131" s="56"/>
      <c r="E131" s="164"/>
      <c r="F131" s="230">
        <v>362</v>
      </c>
      <c r="G131" s="418">
        <v>0.88917753043467995</v>
      </c>
      <c r="H131" s="54"/>
      <c r="I131" s="54"/>
      <c r="J131" s="54"/>
      <c r="L131" s="54"/>
    </row>
    <row r="132" spans="1:15" x14ac:dyDescent="0.3">
      <c r="A132" s="55" t="s">
        <v>20</v>
      </c>
      <c r="B132" s="57"/>
      <c r="C132" s="165"/>
      <c r="D132" s="57"/>
      <c r="E132" s="165"/>
      <c r="F132" s="231"/>
      <c r="G132" s="232"/>
      <c r="H132" s="54"/>
      <c r="I132" s="54"/>
      <c r="J132" s="54"/>
      <c r="L132" s="54"/>
    </row>
    <row r="133" spans="1:15" ht="14.5" thickBot="1" x14ac:dyDescent="0.35">
      <c r="A133" s="58" t="s">
        <v>1</v>
      </c>
      <c r="B133" s="59">
        <v>11796</v>
      </c>
      <c r="C133" s="166">
        <v>2.52583796698051</v>
      </c>
      <c r="D133" s="59">
        <v>227</v>
      </c>
      <c r="E133" s="166">
        <v>4.8606749618902698E-2</v>
      </c>
      <c r="F133" s="59">
        <v>12023</v>
      </c>
      <c r="G133" s="233">
        <v>2.57444471659942</v>
      </c>
      <c r="I133" s="54"/>
      <c r="J133" s="54"/>
      <c r="L133" s="54"/>
    </row>
    <row r="136" spans="1:15" s="88" customFormat="1" ht="29.25" customHeight="1" x14ac:dyDescent="0.3">
      <c r="A136" s="478" t="s">
        <v>245</v>
      </c>
      <c r="B136" s="479"/>
      <c r="C136" s="479"/>
      <c r="D136" s="479"/>
      <c r="E136" s="479"/>
      <c r="F136" s="479"/>
      <c r="G136" s="479"/>
      <c r="H136" s="479"/>
      <c r="I136" s="479"/>
      <c r="J136" s="479"/>
      <c r="K136" s="479"/>
    </row>
    <row r="137" spans="1:15" ht="14.5" thickBot="1" x14ac:dyDescent="0.35"/>
    <row r="138" spans="1:15" ht="14.25" customHeight="1" x14ac:dyDescent="0.3">
      <c r="A138" s="588" t="s">
        <v>2</v>
      </c>
      <c r="B138" s="590" t="s">
        <v>50</v>
      </c>
      <c r="C138" s="590"/>
      <c r="D138" s="590"/>
      <c r="E138" s="590"/>
      <c r="F138" s="590"/>
      <c r="G138" s="590"/>
      <c r="H138" s="590"/>
      <c r="I138" s="590"/>
      <c r="J138" s="590"/>
      <c r="K138" s="590"/>
      <c r="L138" s="590"/>
      <c r="M138" s="590"/>
      <c r="N138" s="590"/>
      <c r="O138" s="591"/>
    </row>
    <row r="139" spans="1:15" ht="101.25" customHeight="1" x14ac:dyDescent="0.3">
      <c r="A139" s="589"/>
      <c r="B139" s="592" t="s">
        <v>55</v>
      </c>
      <c r="C139" s="592"/>
      <c r="D139" s="592" t="s">
        <v>56</v>
      </c>
      <c r="E139" s="592"/>
      <c r="F139" s="592" t="s">
        <v>57</v>
      </c>
      <c r="G139" s="592"/>
      <c r="H139" s="592" t="s">
        <v>58</v>
      </c>
      <c r="I139" s="592"/>
      <c r="J139" s="592" t="s">
        <v>59</v>
      </c>
      <c r="K139" s="592"/>
      <c r="L139" s="592" t="s">
        <v>60</v>
      </c>
      <c r="M139" s="592"/>
      <c r="N139" s="592" t="s">
        <v>0</v>
      </c>
      <c r="O139" s="593"/>
    </row>
    <row r="140" spans="1:15" ht="39" x14ac:dyDescent="0.3">
      <c r="A140" s="589"/>
      <c r="B140" s="39" t="s">
        <v>53</v>
      </c>
      <c r="C140" s="39" t="s">
        <v>54</v>
      </c>
      <c r="D140" s="442" t="s">
        <v>53</v>
      </c>
      <c r="E140" s="442" t="s">
        <v>54</v>
      </c>
      <c r="F140" s="442" t="s">
        <v>53</v>
      </c>
      <c r="G140" s="442" t="s">
        <v>54</v>
      </c>
      <c r="H140" s="442" t="s">
        <v>53</v>
      </c>
      <c r="I140" s="442" t="s">
        <v>54</v>
      </c>
      <c r="J140" s="39" t="s">
        <v>53</v>
      </c>
      <c r="K140" s="442" t="s">
        <v>54</v>
      </c>
      <c r="L140" s="442" t="s">
        <v>53</v>
      </c>
      <c r="M140" s="442" t="s">
        <v>54</v>
      </c>
      <c r="N140" s="442" t="s">
        <v>53</v>
      </c>
      <c r="O140" s="443" t="s">
        <v>54</v>
      </c>
    </row>
    <row r="141" spans="1:15" x14ac:dyDescent="0.3">
      <c r="A141" s="61" t="s">
        <v>3</v>
      </c>
      <c r="B141" s="60">
        <v>1</v>
      </c>
      <c r="C141" s="159">
        <v>2.7134855074095799E-3</v>
      </c>
      <c r="D141" s="225">
        <v>28</v>
      </c>
      <c r="E141" s="234">
        <v>7.5977594207468205E-2</v>
      </c>
      <c r="F141" s="225">
        <v>148</v>
      </c>
      <c r="G141" s="234">
        <v>0.40159585509661799</v>
      </c>
      <c r="H141" s="235">
        <v>23</v>
      </c>
      <c r="I141" s="159">
        <v>6.2410166670420299E-2</v>
      </c>
      <c r="J141" s="60">
        <v>25</v>
      </c>
      <c r="K141" s="159">
        <v>6.7837137685239496E-2</v>
      </c>
      <c r="L141" s="64">
        <v>57</v>
      </c>
      <c r="M141" s="159">
        <v>0.15466867392234601</v>
      </c>
      <c r="N141" s="236">
        <v>282</v>
      </c>
      <c r="O141" s="227">
        <v>0.76520291308950095</v>
      </c>
    </row>
    <row r="142" spans="1:15" x14ac:dyDescent="0.3">
      <c r="A142" s="61" t="s">
        <v>4</v>
      </c>
      <c r="B142" s="60"/>
      <c r="C142" s="159"/>
      <c r="D142" s="225">
        <v>4</v>
      </c>
      <c r="E142" s="234">
        <v>0.37763280873842298</v>
      </c>
      <c r="F142" s="225">
        <v>1</v>
      </c>
      <c r="G142" s="234">
        <v>9.4408202184605799E-2</v>
      </c>
      <c r="H142" s="235"/>
      <c r="I142" s="159"/>
      <c r="J142" s="60">
        <v>6</v>
      </c>
      <c r="K142" s="159">
        <v>0.56644921310763496</v>
      </c>
      <c r="L142" s="64">
        <v>6</v>
      </c>
      <c r="M142" s="159">
        <v>0.56644921310763496</v>
      </c>
      <c r="N142" s="236">
        <v>17</v>
      </c>
      <c r="O142" s="227">
        <v>1.6049394371382999</v>
      </c>
    </row>
    <row r="143" spans="1:15" x14ac:dyDescent="0.3">
      <c r="A143" s="61" t="s">
        <v>5</v>
      </c>
      <c r="B143" s="60"/>
      <c r="C143" s="159"/>
      <c r="D143" s="225"/>
      <c r="E143" s="234"/>
      <c r="F143" s="225"/>
      <c r="G143" s="234"/>
      <c r="H143" s="235">
        <v>0</v>
      </c>
      <c r="I143" s="159">
        <v>0</v>
      </c>
      <c r="J143" s="60">
        <v>722</v>
      </c>
      <c r="K143" s="159">
        <v>0.84357087993322499</v>
      </c>
      <c r="L143" s="64">
        <v>2214</v>
      </c>
      <c r="M143" s="159">
        <v>2.5867949143658699</v>
      </c>
      <c r="N143" s="236">
        <v>2936</v>
      </c>
      <c r="O143" s="227">
        <v>3.4303657942990999</v>
      </c>
    </row>
    <row r="144" spans="1:15" x14ac:dyDescent="0.3">
      <c r="A144" s="61" t="s">
        <v>23</v>
      </c>
      <c r="B144" s="60"/>
      <c r="C144" s="159"/>
      <c r="D144" s="225">
        <v>115</v>
      </c>
      <c r="E144" s="234">
        <v>2.5874443699460499</v>
      </c>
      <c r="F144" s="225">
        <v>55</v>
      </c>
      <c r="G144" s="234">
        <v>1.23747339432202</v>
      </c>
      <c r="H144" s="235"/>
      <c r="I144" s="159"/>
      <c r="J144" s="60"/>
      <c r="K144" s="159"/>
      <c r="L144" s="64">
        <v>27</v>
      </c>
      <c r="M144" s="159">
        <v>0.60748693903081097</v>
      </c>
      <c r="N144" s="236">
        <v>197</v>
      </c>
      <c r="O144" s="227">
        <v>4.4324047032988796</v>
      </c>
    </row>
    <row r="145" spans="1:15" x14ac:dyDescent="0.3">
      <c r="A145" s="61" t="s">
        <v>24</v>
      </c>
      <c r="B145" s="60"/>
      <c r="C145" s="159"/>
      <c r="D145" s="225"/>
      <c r="E145" s="234"/>
      <c r="F145" s="225"/>
      <c r="G145" s="234"/>
      <c r="H145" s="235">
        <v>30</v>
      </c>
      <c r="I145" s="159">
        <v>0.64913708044106699</v>
      </c>
      <c r="J145" s="60">
        <v>59</v>
      </c>
      <c r="K145" s="159">
        <v>1.27663625820077</v>
      </c>
      <c r="L145" s="64"/>
      <c r="M145" s="159"/>
      <c r="N145" s="236">
        <v>89</v>
      </c>
      <c r="O145" s="227">
        <v>1.9257733386418301</v>
      </c>
    </row>
    <row r="146" spans="1:15" x14ac:dyDescent="0.3">
      <c r="A146" s="61" t="s">
        <v>6</v>
      </c>
      <c r="B146" s="60">
        <v>120</v>
      </c>
      <c r="C146" s="159">
        <v>0.28765858378008302</v>
      </c>
      <c r="D146" s="225">
        <v>231</v>
      </c>
      <c r="E146" s="159">
        <v>0.55374277377666004</v>
      </c>
      <c r="F146" s="225">
        <v>119</v>
      </c>
      <c r="G146" s="159">
        <v>0.28526142891524903</v>
      </c>
      <c r="H146" s="235">
        <v>134</v>
      </c>
      <c r="I146" s="159">
        <v>0.321218751887759</v>
      </c>
      <c r="J146" s="60">
        <v>50</v>
      </c>
      <c r="K146" s="159">
        <v>0.119857743241701</v>
      </c>
      <c r="L146" s="64">
        <v>81</v>
      </c>
      <c r="M146" s="159">
        <v>0.19416954405155601</v>
      </c>
      <c r="N146" s="236">
        <v>735</v>
      </c>
      <c r="O146" s="227">
        <v>1.76190882565301</v>
      </c>
    </row>
    <row r="147" spans="1:15" x14ac:dyDescent="0.3">
      <c r="A147" s="61" t="s">
        <v>22</v>
      </c>
      <c r="B147" s="60"/>
      <c r="C147" s="159"/>
      <c r="D147" s="225"/>
      <c r="E147" s="159"/>
      <c r="F147" s="225"/>
      <c r="G147" s="159"/>
      <c r="H147" s="235"/>
      <c r="I147" s="159"/>
      <c r="J147" s="60"/>
      <c r="K147" s="159"/>
      <c r="L147" s="64">
        <v>64</v>
      </c>
      <c r="M147" s="159">
        <v>0.73958428429619905</v>
      </c>
      <c r="N147" s="236">
        <v>64</v>
      </c>
      <c r="O147" s="227">
        <v>0.73958428429619905</v>
      </c>
    </row>
    <row r="148" spans="1:15" x14ac:dyDescent="0.3">
      <c r="A148" s="61" t="s">
        <v>7</v>
      </c>
      <c r="B148" s="60"/>
      <c r="C148" s="159"/>
      <c r="D148" s="225">
        <v>85</v>
      </c>
      <c r="E148" s="159">
        <v>1.0220657993937301</v>
      </c>
      <c r="F148" s="225">
        <v>42</v>
      </c>
      <c r="G148" s="159">
        <v>0.50502074793572804</v>
      </c>
      <c r="H148" s="235">
        <v>13</v>
      </c>
      <c r="I148" s="159">
        <v>0.15631594578963001</v>
      </c>
      <c r="J148" s="60">
        <v>1</v>
      </c>
      <c r="K148" s="159">
        <v>1.2024303522279201E-2</v>
      </c>
      <c r="L148" s="64">
        <v>108</v>
      </c>
      <c r="M148" s="159">
        <v>1.2986247804061599</v>
      </c>
      <c r="N148" s="236">
        <v>249</v>
      </c>
      <c r="O148" s="227">
        <v>2.99405157704753</v>
      </c>
    </row>
    <row r="149" spans="1:15" x14ac:dyDescent="0.3">
      <c r="A149" s="61" t="s">
        <v>8</v>
      </c>
      <c r="B149" s="60"/>
      <c r="C149" s="159"/>
      <c r="D149" s="225">
        <v>1538</v>
      </c>
      <c r="E149" s="159">
        <v>4.0173241225686098</v>
      </c>
      <c r="F149" s="225">
        <v>292</v>
      </c>
      <c r="G149" s="159">
        <v>0.76271693354358605</v>
      </c>
      <c r="H149" s="235"/>
      <c r="I149" s="159"/>
      <c r="J149" s="60"/>
      <c r="K149" s="159"/>
      <c r="L149" s="64">
        <v>159</v>
      </c>
      <c r="M149" s="159">
        <v>0.41531504258023999</v>
      </c>
      <c r="N149" s="236">
        <v>1989</v>
      </c>
      <c r="O149" s="227">
        <v>5.1953560986924403</v>
      </c>
    </row>
    <row r="150" spans="1:15" x14ac:dyDescent="0.3">
      <c r="A150" s="61" t="s">
        <v>9</v>
      </c>
      <c r="B150" s="60">
        <v>2</v>
      </c>
      <c r="C150" s="159">
        <v>6.2943535557275299E-3</v>
      </c>
      <c r="D150" s="225"/>
      <c r="E150" s="159"/>
      <c r="F150" s="225"/>
      <c r="G150" s="159"/>
      <c r="H150" s="235">
        <v>0</v>
      </c>
      <c r="I150" s="159">
        <v>0</v>
      </c>
      <c r="J150" s="60">
        <v>4</v>
      </c>
      <c r="K150" s="159">
        <v>1.25887071114551E-2</v>
      </c>
      <c r="L150" s="64">
        <v>196</v>
      </c>
      <c r="M150" s="159">
        <v>0.616846648461298</v>
      </c>
      <c r="N150" s="236">
        <v>202</v>
      </c>
      <c r="O150" s="227">
        <v>0.63572970912848104</v>
      </c>
    </row>
    <row r="151" spans="1:15" x14ac:dyDescent="0.3">
      <c r="A151" s="61" t="s">
        <v>10</v>
      </c>
      <c r="B151" s="60"/>
      <c r="C151" s="159"/>
      <c r="D151" s="225"/>
      <c r="E151" s="159"/>
      <c r="F151" s="225"/>
      <c r="G151" s="159"/>
      <c r="H151" s="235">
        <v>12</v>
      </c>
      <c r="I151" s="159">
        <v>0.16221126395016899</v>
      </c>
      <c r="J151" s="60">
        <v>33</v>
      </c>
      <c r="K151" s="159">
        <v>0.44608097586296402</v>
      </c>
      <c r="L151" s="64">
        <v>195</v>
      </c>
      <c r="M151" s="159">
        <v>2.63593303919024</v>
      </c>
      <c r="N151" s="236">
        <v>240</v>
      </c>
      <c r="O151" s="227">
        <v>3.2442252790033699</v>
      </c>
    </row>
    <row r="152" spans="1:15" x14ac:dyDescent="0.3">
      <c r="A152" s="61" t="s">
        <v>11</v>
      </c>
      <c r="B152" s="60"/>
      <c r="C152" s="159"/>
      <c r="D152" s="225">
        <v>607</v>
      </c>
      <c r="E152" s="159">
        <v>4.7326703956263003</v>
      </c>
      <c r="F152" s="225">
        <v>97</v>
      </c>
      <c r="G152" s="159">
        <v>0.75629164477059396</v>
      </c>
      <c r="H152" s="235">
        <v>10</v>
      </c>
      <c r="I152" s="159">
        <v>7.7968210801092203E-2</v>
      </c>
      <c r="J152" s="60"/>
      <c r="K152" s="159"/>
      <c r="L152" s="64">
        <v>14</v>
      </c>
      <c r="M152" s="159">
        <v>0.109155495121529</v>
      </c>
      <c r="N152" s="236">
        <v>728</v>
      </c>
      <c r="O152" s="227">
        <v>5.6760857463195098</v>
      </c>
    </row>
    <row r="153" spans="1:15" x14ac:dyDescent="0.3">
      <c r="A153" s="61" t="s">
        <v>12</v>
      </c>
      <c r="B153" s="60"/>
      <c r="C153" s="159"/>
      <c r="D153" s="225">
        <v>2748</v>
      </c>
      <c r="E153" s="159">
        <v>5.6058923068919997</v>
      </c>
      <c r="F153" s="225">
        <v>336</v>
      </c>
      <c r="G153" s="159">
        <v>0.68543661394312705</v>
      </c>
      <c r="H153" s="235">
        <v>16</v>
      </c>
      <c r="I153" s="159">
        <v>3.2639838759196502E-2</v>
      </c>
      <c r="J153" s="60">
        <v>11</v>
      </c>
      <c r="K153" s="159">
        <v>2.2439889146947601E-2</v>
      </c>
      <c r="L153" s="64">
        <v>116</v>
      </c>
      <c r="M153" s="159">
        <v>0.23663883100417499</v>
      </c>
      <c r="N153" s="236">
        <v>3227</v>
      </c>
      <c r="O153" s="227">
        <v>6.5830474797454501</v>
      </c>
    </row>
    <row r="154" spans="1:15" x14ac:dyDescent="0.3">
      <c r="A154" s="61" t="s">
        <v>13</v>
      </c>
      <c r="B154" s="60"/>
      <c r="C154" s="159"/>
      <c r="D154" s="225"/>
      <c r="E154" s="159"/>
      <c r="F154" s="225"/>
      <c r="G154" s="159"/>
      <c r="H154" s="235"/>
      <c r="I154" s="159"/>
      <c r="J154" s="60"/>
      <c r="K154" s="159"/>
      <c r="L154" s="64"/>
      <c r="M154" s="159"/>
      <c r="N154" s="236"/>
      <c r="O154" s="227"/>
    </row>
    <row r="155" spans="1:15" x14ac:dyDescent="0.3">
      <c r="A155" s="61" t="s">
        <v>14</v>
      </c>
      <c r="B155" s="60"/>
      <c r="C155" s="159"/>
      <c r="D155" s="225"/>
      <c r="E155" s="159"/>
      <c r="F155" s="225"/>
      <c r="G155" s="159"/>
      <c r="H155" s="235"/>
      <c r="I155" s="159"/>
      <c r="J155" s="60"/>
      <c r="K155" s="159"/>
      <c r="L155" s="64">
        <v>5</v>
      </c>
      <c r="M155" s="159">
        <v>0.197179543805407</v>
      </c>
      <c r="N155" s="236">
        <v>5</v>
      </c>
      <c r="O155" s="227">
        <v>0.197179543805407</v>
      </c>
    </row>
    <row r="156" spans="1:15" x14ac:dyDescent="0.3">
      <c r="A156" s="61" t="s">
        <v>15</v>
      </c>
      <c r="B156" s="60">
        <v>0</v>
      </c>
      <c r="C156" s="159">
        <v>0</v>
      </c>
      <c r="D156" s="225"/>
      <c r="E156" s="159"/>
      <c r="F156" s="225"/>
      <c r="G156" s="159"/>
      <c r="H156" s="235">
        <v>11</v>
      </c>
      <c r="I156" s="159">
        <v>2.79002712413642E-2</v>
      </c>
      <c r="J156" s="60">
        <v>17</v>
      </c>
      <c r="K156" s="159">
        <v>4.31186010093811E-2</v>
      </c>
      <c r="L156" s="64">
        <v>189</v>
      </c>
      <c r="M156" s="159">
        <v>0.47937738769253102</v>
      </c>
      <c r="N156" s="236">
        <v>217</v>
      </c>
      <c r="O156" s="227">
        <v>0.55039625994327601</v>
      </c>
    </row>
    <row r="157" spans="1:15" x14ac:dyDescent="0.3">
      <c r="A157" s="61" t="s">
        <v>16</v>
      </c>
      <c r="B157" s="60"/>
      <c r="C157" s="159"/>
      <c r="D157" s="225">
        <v>298</v>
      </c>
      <c r="E157" s="159">
        <v>0.89110035943041299</v>
      </c>
      <c r="F157" s="225">
        <v>65</v>
      </c>
      <c r="G157" s="159">
        <v>0.19436752806368099</v>
      </c>
      <c r="H157" s="235"/>
      <c r="I157" s="159"/>
      <c r="J157" s="60"/>
      <c r="K157" s="159"/>
      <c r="L157" s="64">
        <v>37</v>
      </c>
      <c r="M157" s="159">
        <v>0.11063997751317201</v>
      </c>
      <c r="N157" s="236">
        <v>400</v>
      </c>
      <c r="O157" s="227">
        <v>1.1961078650072701</v>
      </c>
    </row>
    <row r="158" spans="1:15" x14ac:dyDescent="0.3">
      <c r="A158" s="61" t="s">
        <v>17</v>
      </c>
      <c r="B158" s="60"/>
      <c r="C158" s="159"/>
      <c r="D158" s="225">
        <v>1</v>
      </c>
      <c r="E158" s="159">
        <v>2.1529637699256799E-2</v>
      </c>
      <c r="F158" s="225"/>
      <c r="G158" s="159"/>
      <c r="H158" s="235"/>
      <c r="I158" s="159"/>
      <c r="J158" s="60"/>
      <c r="K158" s="159"/>
      <c r="L158" s="64">
        <v>35</v>
      </c>
      <c r="M158" s="159">
        <v>0.75353731947398805</v>
      </c>
      <c r="N158" s="236">
        <v>36</v>
      </c>
      <c r="O158" s="227">
        <v>0.77506695717324503</v>
      </c>
    </row>
    <row r="159" spans="1:15" x14ac:dyDescent="0.3">
      <c r="A159" s="61" t="s">
        <v>18</v>
      </c>
      <c r="B159" s="60"/>
      <c r="C159" s="159"/>
      <c r="D159" s="225"/>
      <c r="E159" s="159"/>
      <c r="F159" s="225"/>
      <c r="G159" s="159"/>
      <c r="H159" s="235"/>
      <c r="I159" s="159"/>
      <c r="J159" s="60">
        <v>12</v>
      </c>
      <c r="K159" s="159">
        <v>7.6442274616323497E-2</v>
      </c>
      <c r="L159" s="64">
        <v>36</v>
      </c>
      <c r="M159" s="159">
        <v>0.22932682384896999</v>
      </c>
      <c r="N159" s="236">
        <v>48</v>
      </c>
      <c r="O159" s="227">
        <v>0.30576909846529399</v>
      </c>
    </row>
    <row r="160" spans="1:15" x14ac:dyDescent="0.3">
      <c r="A160" s="61" t="s">
        <v>19</v>
      </c>
      <c r="B160" s="60"/>
      <c r="C160" s="159"/>
      <c r="D160" s="225"/>
      <c r="E160" s="159"/>
      <c r="F160" s="225"/>
      <c r="G160" s="159"/>
      <c r="H160" s="235"/>
      <c r="I160" s="159"/>
      <c r="J160" s="60"/>
      <c r="K160" s="159"/>
      <c r="L160" s="64">
        <v>362</v>
      </c>
      <c r="M160" s="159">
        <v>0.88917753043467995</v>
      </c>
      <c r="N160" s="236">
        <v>362</v>
      </c>
      <c r="O160" s="227">
        <v>0.88917753043467995</v>
      </c>
    </row>
    <row r="161" spans="1:15" x14ac:dyDescent="0.3">
      <c r="A161" s="61" t="s">
        <v>20</v>
      </c>
      <c r="B161" s="60"/>
      <c r="C161" s="159"/>
      <c r="D161" s="225"/>
      <c r="E161" s="159"/>
      <c r="F161" s="225"/>
      <c r="G161" s="159"/>
      <c r="H161" s="235"/>
      <c r="I161" s="159"/>
      <c r="J161" s="60"/>
      <c r="K161" s="159"/>
      <c r="L161" s="64"/>
      <c r="M161" s="159"/>
      <c r="N161" s="236"/>
      <c r="O161" s="227"/>
    </row>
    <row r="162" spans="1:15" ht="14.5" thickBot="1" x14ac:dyDescent="0.35">
      <c r="A162" s="58" t="s">
        <v>1</v>
      </c>
      <c r="B162" s="62">
        <v>123</v>
      </c>
      <c r="C162" s="160">
        <v>2.6337577987334999E-2</v>
      </c>
      <c r="D162" s="228">
        <v>5655</v>
      </c>
      <c r="E162" s="160">
        <v>1.2108862074665001</v>
      </c>
      <c r="F162" s="228">
        <v>1155</v>
      </c>
      <c r="G162" s="160">
        <v>0.24731628110058401</v>
      </c>
      <c r="H162" s="228">
        <v>249</v>
      </c>
      <c r="I162" s="160">
        <v>5.33175359255805E-2</v>
      </c>
      <c r="J162" s="63">
        <v>940</v>
      </c>
      <c r="K162" s="160">
        <v>0.201279051285324</v>
      </c>
      <c r="L162" s="63">
        <v>3901</v>
      </c>
      <c r="M162" s="160">
        <v>0.83530806283409498</v>
      </c>
      <c r="N162" s="63">
        <v>12023</v>
      </c>
      <c r="O162" s="229">
        <v>2.57444471659942</v>
      </c>
    </row>
    <row r="165" spans="1:15" s="88" customFormat="1" ht="33.75" customHeight="1" x14ac:dyDescent="0.3">
      <c r="A165" s="478" t="s">
        <v>246</v>
      </c>
      <c r="B165" s="479"/>
      <c r="C165" s="479"/>
      <c r="D165" s="479"/>
      <c r="E165" s="479"/>
      <c r="F165" s="479"/>
      <c r="G165" s="479"/>
      <c r="H165" s="479"/>
      <c r="I165" s="479"/>
      <c r="J165" s="479"/>
      <c r="K165" s="479"/>
    </row>
    <row r="166" spans="1:15" ht="14.5" thickBot="1" x14ac:dyDescent="0.35"/>
    <row r="167" spans="1:15" ht="14.25" customHeight="1" x14ac:dyDescent="0.3">
      <c r="A167" s="594" t="s">
        <v>2</v>
      </c>
      <c r="B167" s="602" t="s">
        <v>61</v>
      </c>
      <c r="C167" s="603"/>
      <c r="D167" s="603"/>
      <c r="E167" s="603"/>
      <c r="F167" s="603"/>
      <c r="G167" s="604"/>
    </row>
    <row r="168" spans="1:15" ht="33" customHeight="1" x14ac:dyDescent="0.3">
      <c r="A168" s="595"/>
      <c r="B168" s="592" t="s">
        <v>51</v>
      </c>
      <c r="C168" s="592"/>
      <c r="D168" s="592" t="s">
        <v>52</v>
      </c>
      <c r="E168" s="592"/>
      <c r="F168" s="592" t="s">
        <v>0</v>
      </c>
      <c r="G168" s="596"/>
    </row>
    <row r="169" spans="1:15" ht="39" x14ac:dyDescent="0.3">
      <c r="A169" s="595"/>
      <c r="B169" s="173" t="s">
        <v>53</v>
      </c>
      <c r="C169" s="173" t="s">
        <v>54</v>
      </c>
      <c r="D169" s="173" t="s">
        <v>53</v>
      </c>
      <c r="E169" s="173" t="s">
        <v>54</v>
      </c>
      <c r="F169" s="173" t="s">
        <v>53</v>
      </c>
      <c r="G169" s="47" t="s">
        <v>54</v>
      </c>
    </row>
    <row r="170" spans="1:15" x14ac:dyDescent="0.3">
      <c r="A170" s="45" t="s">
        <v>3</v>
      </c>
      <c r="B170" s="34">
        <v>267</v>
      </c>
      <c r="C170" s="144">
        <v>0.724500630478358</v>
      </c>
      <c r="D170" s="34">
        <v>29</v>
      </c>
      <c r="E170" s="144">
        <v>7.8691079714877807E-2</v>
      </c>
      <c r="F170" s="237">
        <v>296</v>
      </c>
      <c r="G170" s="238">
        <v>0.80319171019323499</v>
      </c>
    </row>
    <row r="171" spans="1:15" x14ac:dyDescent="0.3">
      <c r="A171" s="45" t="s">
        <v>4</v>
      </c>
      <c r="B171" s="38">
        <v>9</v>
      </c>
      <c r="C171" s="167">
        <v>0.84967381966145195</v>
      </c>
      <c r="D171" s="38">
        <v>0</v>
      </c>
      <c r="E171" s="167">
        <v>0</v>
      </c>
      <c r="F171" s="237">
        <v>9</v>
      </c>
      <c r="G171" s="238">
        <v>0.84967381966145195</v>
      </c>
    </row>
    <row r="172" spans="1:15" x14ac:dyDescent="0.3">
      <c r="A172" s="45" t="s">
        <v>5</v>
      </c>
      <c r="B172" s="34">
        <v>2860</v>
      </c>
      <c r="C172" s="144">
        <v>3.3415688595692798</v>
      </c>
      <c r="D172" s="34"/>
      <c r="E172" s="144"/>
      <c r="F172" s="237">
        <v>2860</v>
      </c>
      <c r="G172" s="238">
        <v>3.3415688595692798</v>
      </c>
    </row>
    <row r="173" spans="1:15" x14ac:dyDescent="0.3">
      <c r="A173" s="45" t="s">
        <v>23</v>
      </c>
      <c r="B173" s="38">
        <v>184</v>
      </c>
      <c r="C173" s="167">
        <v>4.1399109919136698</v>
      </c>
      <c r="D173" s="38"/>
      <c r="E173" s="167"/>
      <c r="F173" s="237">
        <v>184</v>
      </c>
      <c r="G173" s="238">
        <v>4.1399109919136698</v>
      </c>
    </row>
    <row r="174" spans="1:15" x14ac:dyDescent="0.3">
      <c r="A174" s="45" t="s">
        <v>24</v>
      </c>
      <c r="B174" s="34">
        <v>71</v>
      </c>
      <c r="C174" s="144">
        <v>1.53629109037719</v>
      </c>
      <c r="D174" s="34"/>
      <c r="E174" s="144"/>
      <c r="F174" s="237">
        <v>71</v>
      </c>
      <c r="G174" s="238">
        <v>1.53629109037719</v>
      </c>
    </row>
    <row r="175" spans="1:15" x14ac:dyDescent="0.3">
      <c r="A175" s="45" t="s">
        <v>6</v>
      </c>
      <c r="B175" s="34">
        <v>383</v>
      </c>
      <c r="C175" s="144">
        <v>0.918110313231432</v>
      </c>
      <c r="D175" s="34"/>
      <c r="E175" s="144"/>
      <c r="F175" s="237">
        <v>383</v>
      </c>
      <c r="G175" s="238">
        <v>0.918110313231432</v>
      </c>
    </row>
    <row r="176" spans="1:15" x14ac:dyDescent="0.3">
      <c r="A176" s="45" t="s">
        <v>22</v>
      </c>
      <c r="B176" s="34">
        <v>56</v>
      </c>
      <c r="C176" s="144">
        <v>0.64713624875917397</v>
      </c>
      <c r="D176" s="34"/>
      <c r="E176" s="144"/>
      <c r="F176" s="237">
        <v>56</v>
      </c>
      <c r="G176" s="238">
        <v>0.64713624875917397</v>
      </c>
    </row>
    <row r="177" spans="1:10" x14ac:dyDescent="0.3">
      <c r="A177" s="45" t="s">
        <v>7</v>
      </c>
      <c r="B177" s="34">
        <v>292</v>
      </c>
      <c r="C177" s="144">
        <v>3.5110966285055398</v>
      </c>
      <c r="D177" s="34"/>
      <c r="E177" s="144"/>
      <c r="F177" s="237">
        <v>292</v>
      </c>
      <c r="G177" s="238">
        <v>3.5110966285055398</v>
      </c>
    </row>
    <row r="178" spans="1:10" x14ac:dyDescent="0.3">
      <c r="A178" s="45" t="s">
        <v>8</v>
      </c>
      <c r="B178" s="34">
        <v>3263</v>
      </c>
      <c r="C178" s="144">
        <v>8.5231005279202705</v>
      </c>
      <c r="D178" s="34"/>
      <c r="E178" s="144"/>
      <c r="F178" s="237">
        <v>3263</v>
      </c>
      <c r="G178" s="238">
        <v>8.5231005279202705</v>
      </c>
    </row>
    <row r="179" spans="1:10" x14ac:dyDescent="0.3">
      <c r="A179" s="45" t="s">
        <v>9</v>
      </c>
      <c r="B179" s="34">
        <v>149</v>
      </c>
      <c r="C179" s="144">
        <v>0.46892933990170099</v>
      </c>
      <c r="D179" s="34">
        <v>15</v>
      </c>
      <c r="E179" s="144">
        <v>4.7207651667956499E-2</v>
      </c>
      <c r="F179" s="237">
        <v>164</v>
      </c>
      <c r="G179" s="238">
        <v>0.51613699156965798</v>
      </c>
    </row>
    <row r="180" spans="1:10" x14ac:dyDescent="0.3">
      <c r="A180" s="45" t="s">
        <v>10</v>
      </c>
      <c r="B180" s="34">
        <v>209</v>
      </c>
      <c r="C180" s="144">
        <v>2.8251795137987701</v>
      </c>
      <c r="D180" s="34"/>
      <c r="E180" s="144"/>
      <c r="F180" s="237">
        <v>209</v>
      </c>
      <c r="G180" s="238">
        <v>2.8251795137987701</v>
      </c>
    </row>
    <row r="181" spans="1:10" x14ac:dyDescent="0.3">
      <c r="A181" s="45" t="s">
        <v>11</v>
      </c>
      <c r="B181" s="34">
        <v>506</v>
      </c>
      <c r="C181" s="144">
        <v>3.9451914665352601</v>
      </c>
      <c r="D181" s="34">
        <v>186</v>
      </c>
      <c r="E181" s="144">
        <v>1.4502087209003101</v>
      </c>
      <c r="F181" s="237">
        <v>692</v>
      </c>
      <c r="G181" s="238">
        <v>5.3954001874355804</v>
      </c>
    </row>
    <row r="182" spans="1:10" x14ac:dyDescent="0.3">
      <c r="A182" s="45" t="s">
        <v>12</v>
      </c>
      <c r="B182" s="34">
        <v>3245</v>
      </c>
      <c r="C182" s="144">
        <v>6.6197672983495499</v>
      </c>
      <c r="D182" s="34"/>
      <c r="E182" s="144"/>
      <c r="F182" s="237">
        <v>3245</v>
      </c>
      <c r="G182" s="238">
        <v>6.6197672983495499</v>
      </c>
    </row>
    <row r="183" spans="1:10" x14ac:dyDescent="0.3">
      <c r="A183" s="45" t="s">
        <v>13</v>
      </c>
      <c r="B183" s="34"/>
      <c r="C183" s="144"/>
      <c r="D183" s="34"/>
      <c r="E183" s="144"/>
      <c r="F183" s="237"/>
      <c r="G183" s="238"/>
    </row>
    <row r="184" spans="1:10" x14ac:dyDescent="0.3">
      <c r="A184" s="45" t="s">
        <v>14</v>
      </c>
      <c r="B184" s="34">
        <v>0</v>
      </c>
      <c r="C184" s="144">
        <v>0</v>
      </c>
      <c r="D184" s="34"/>
      <c r="E184" s="144"/>
      <c r="F184" s="237">
        <v>0</v>
      </c>
      <c r="G184" s="238">
        <v>0</v>
      </c>
    </row>
    <row r="185" spans="1:10" x14ac:dyDescent="0.3">
      <c r="A185" s="45" t="s">
        <v>15</v>
      </c>
      <c r="B185" s="34">
        <v>61</v>
      </c>
      <c r="C185" s="144">
        <v>0.15471968597483801</v>
      </c>
      <c r="D185" s="34">
        <v>0</v>
      </c>
      <c r="E185" s="144">
        <v>0</v>
      </c>
      <c r="F185" s="237">
        <v>61</v>
      </c>
      <c r="G185" s="238">
        <v>0.15471968597483801</v>
      </c>
    </row>
    <row r="186" spans="1:10" x14ac:dyDescent="0.3">
      <c r="A186" s="45" t="s">
        <v>16</v>
      </c>
      <c r="B186" s="34">
        <v>438</v>
      </c>
      <c r="C186" s="144">
        <v>1.3097381121829601</v>
      </c>
      <c r="D186" s="34">
        <v>1</v>
      </c>
      <c r="E186" s="144">
        <v>2.9902696625181699E-3</v>
      </c>
      <c r="F186" s="237">
        <v>439</v>
      </c>
      <c r="G186" s="238">
        <v>1.31272838184547</v>
      </c>
    </row>
    <row r="187" spans="1:10" x14ac:dyDescent="0.3">
      <c r="A187" s="45" t="s">
        <v>17</v>
      </c>
      <c r="B187" s="34">
        <v>27</v>
      </c>
      <c r="C187" s="144">
        <v>0.58130021787993402</v>
      </c>
      <c r="D187" s="34"/>
      <c r="E187" s="144"/>
      <c r="F187" s="237">
        <v>27</v>
      </c>
      <c r="G187" s="238">
        <v>0.58130021787993402</v>
      </c>
    </row>
    <row r="188" spans="1:10" x14ac:dyDescent="0.3">
      <c r="A188" s="45" t="s">
        <v>18</v>
      </c>
      <c r="B188" s="34">
        <v>47</v>
      </c>
      <c r="C188" s="144">
        <v>0.299398908913934</v>
      </c>
      <c r="D188" s="34"/>
      <c r="E188" s="144"/>
      <c r="F188" s="237">
        <v>47</v>
      </c>
      <c r="G188" s="238">
        <v>0.299398908913934</v>
      </c>
    </row>
    <row r="189" spans="1:10" x14ac:dyDescent="0.3">
      <c r="A189" s="45" t="s">
        <v>19</v>
      </c>
      <c r="B189" s="34">
        <v>409</v>
      </c>
      <c r="C189" s="144">
        <v>1.0046232318999599</v>
      </c>
      <c r="D189" s="34"/>
      <c r="E189" s="144"/>
      <c r="F189" s="237">
        <v>409</v>
      </c>
      <c r="G189" s="238">
        <v>1.0046232318999599</v>
      </c>
    </row>
    <row r="190" spans="1:10" x14ac:dyDescent="0.3">
      <c r="A190" s="45" t="s">
        <v>20</v>
      </c>
      <c r="B190" s="38"/>
      <c r="C190" s="167"/>
      <c r="D190" s="38"/>
      <c r="E190" s="167"/>
      <c r="F190" s="237"/>
      <c r="G190" s="238"/>
    </row>
    <row r="191" spans="1:10" ht="14.5" thickBot="1" x14ac:dyDescent="0.35">
      <c r="A191" s="46" t="s">
        <v>1</v>
      </c>
      <c r="B191" s="48">
        <v>12476</v>
      </c>
      <c r="C191" s="168">
        <v>2.6714440891869198</v>
      </c>
      <c r="D191" s="48">
        <v>231</v>
      </c>
      <c r="E191" s="168">
        <v>4.9463256220116901E-2</v>
      </c>
      <c r="F191" s="48">
        <v>12707</v>
      </c>
      <c r="G191" s="239">
        <v>2.7209073454070398</v>
      </c>
      <c r="J191" s="54"/>
    </row>
    <row r="194" spans="1:15" s="88" customFormat="1" ht="31.5" customHeight="1" x14ac:dyDescent="0.3">
      <c r="A194" s="478" t="s">
        <v>247</v>
      </c>
      <c r="B194" s="479"/>
      <c r="C194" s="479"/>
      <c r="D194" s="479"/>
      <c r="E194" s="479"/>
      <c r="F194" s="479"/>
      <c r="G194" s="479"/>
      <c r="H194" s="479"/>
      <c r="I194" s="479"/>
      <c r="J194" s="479"/>
      <c r="K194" s="479"/>
    </row>
    <row r="195" spans="1:15" ht="14.5" thickBot="1" x14ac:dyDescent="0.35"/>
    <row r="196" spans="1:15" ht="14.25" customHeight="1" x14ac:dyDescent="0.3">
      <c r="A196" s="588" t="s">
        <v>2</v>
      </c>
      <c r="B196" s="590" t="s">
        <v>61</v>
      </c>
      <c r="C196" s="590"/>
      <c r="D196" s="590"/>
      <c r="E196" s="590"/>
      <c r="F196" s="590"/>
      <c r="G196" s="590"/>
      <c r="H196" s="590"/>
      <c r="I196" s="590"/>
      <c r="J196" s="590"/>
      <c r="K196" s="590"/>
      <c r="L196" s="590"/>
      <c r="M196" s="590"/>
      <c r="N196" s="590"/>
      <c r="O196" s="591"/>
    </row>
    <row r="197" spans="1:15" ht="123.75" customHeight="1" x14ac:dyDescent="0.3">
      <c r="A197" s="589"/>
      <c r="B197" s="592" t="s">
        <v>55</v>
      </c>
      <c r="C197" s="592"/>
      <c r="D197" s="592" t="s">
        <v>56</v>
      </c>
      <c r="E197" s="592"/>
      <c r="F197" s="592" t="s">
        <v>57</v>
      </c>
      <c r="G197" s="592"/>
      <c r="H197" s="592" t="s">
        <v>58</v>
      </c>
      <c r="I197" s="592"/>
      <c r="J197" s="592" t="s">
        <v>59</v>
      </c>
      <c r="K197" s="592"/>
      <c r="L197" s="592" t="s">
        <v>60</v>
      </c>
      <c r="M197" s="592"/>
      <c r="N197" s="592" t="s">
        <v>21</v>
      </c>
      <c r="O197" s="593"/>
    </row>
    <row r="198" spans="1:15" ht="39" x14ac:dyDescent="0.3">
      <c r="A198" s="589"/>
      <c r="B198" s="39" t="s">
        <v>53</v>
      </c>
      <c r="C198" s="39" t="s">
        <v>54</v>
      </c>
      <c r="D198" s="442" t="s">
        <v>53</v>
      </c>
      <c r="E198" s="442" t="s">
        <v>54</v>
      </c>
      <c r="F198" s="442" t="s">
        <v>53</v>
      </c>
      <c r="G198" s="442" t="s">
        <v>54</v>
      </c>
      <c r="H198" s="442" t="s">
        <v>53</v>
      </c>
      <c r="I198" s="442" t="s">
        <v>54</v>
      </c>
      <c r="J198" s="39" t="s">
        <v>53</v>
      </c>
      <c r="K198" s="442" t="s">
        <v>54</v>
      </c>
      <c r="L198" s="442" t="s">
        <v>53</v>
      </c>
      <c r="M198" s="442" t="s">
        <v>54</v>
      </c>
      <c r="N198" s="442" t="s">
        <v>53</v>
      </c>
      <c r="O198" s="443" t="s">
        <v>54</v>
      </c>
    </row>
    <row r="199" spans="1:15" x14ac:dyDescent="0.3">
      <c r="A199" s="61" t="s">
        <v>3</v>
      </c>
      <c r="B199" s="60">
        <v>1</v>
      </c>
      <c r="C199" s="159">
        <v>2.7134855074095799E-3</v>
      </c>
      <c r="D199" s="235">
        <v>18</v>
      </c>
      <c r="E199" s="159">
        <v>4.88427391333724E-2</v>
      </c>
      <c r="F199" s="235">
        <v>136</v>
      </c>
      <c r="G199" s="159">
        <v>0.36903402900770299</v>
      </c>
      <c r="H199" s="225">
        <v>22</v>
      </c>
      <c r="I199" s="159">
        <v>5.9696681163010697E-2</v>
      </c>
      <c r="J199" s="60">
        <v>27</v>
      </c>
      <c r="K199" s="159">
        <v>7.3264108700058603E-2</v>
      </c>
      <c r="L199" s="64">
        <v>92</v>
      </c>
      <c r="M199" s="159">
        <v>0.249640666681681</v>
      </c>
      <c r="N199" s="236">
        <v>296</v>
      </c>
      <c r="O199" s="227">
        <v>0.80319171019323499</v>
      </c>
    </row>
    <row r="200" spans="1:15" x14ac:dyDescent="0.3">
      <c r="A200" s="61" t="s">
        <v>4</v>
      </c>
      <c r="B200" s="60"/>
      <c r="C200" s="159"/>
      <c r="D200" s="235">
        <v>1</v>
      </c>
      <c r="E200" s="159">
        <v>9.4408202184605799E-2</v>
      </c>
      <c r="F200" s="235">
        <v>3</v>
      </c>
      <c r="G200" s="159">
        <v>0.28322460655381698</v>
      </c>
      <c r="H200" s="225"/>
      <c r="I200" s="159"/>
      <c r="J200" s="60">
        <v>2</v>
      </c>
      <c r="K200" s="159">
        <v>0.18881640436921199</v>
      </c>
      <c r="L200" s="64">
        <v>3</v>
      </c>
      <c r="M200" s="159">
        <v>0.28322460655381698</v>
      </c>
      <c r="N200" s="236">
        <v>9</v>
      </c>
      <c r="O200" s="227">
        <v>0.84967381966145195</v>
      </c>
    </row>
    <row r="201" spans="1:15" x14ac:dyDescent="0.3">
      <c r="A201" s="61" t="s">
        <v>5</v>
      </c>
      <c r="B201" s="60"/>
      <c r="C201" s="159"/>
      <c r="D201" s="235"/>
      <c r="E201" s="159"/>
      <c r="F201" s="235"/>
      <c r="G201" s="159"/>
      <c r="H201" s="225">
        <v>9</v>
      </c>
      <c r="I201" s="159">
        <v>1.0515426481162099E-2</v>
      </c>
      <c r="J201" s="60">
        <v>639</v>
      </c>
      <c r="K201" s="159">
        <v>0.74659528016250798</v>
      </c>
      <c r="L201" s="64">
        <v>2212</v>
      </c>
      <c r="M201" s="159">
        <v>2.5844581529256101</v>
      </c>
      <c r="N201" s="236">
        <v>2860</v>
      </c>
      <c r="O201" s="227">
        <v>3.3415688595692798</v>
      </c>
    </row>
    <row r="202" spans="1:15" x14ac:dyDescent="0.3">
      <c r="A202" s="61" t="s">
        <v>23</v>
      </c>
      <c r="B202" s="60"/>
      <c r="C202" s="159"/>
      <c r="D202" s="235">
        <v>104</v>
      </c>
      <c r="E202" s="159">
        <v>2.3399496910816402</v>
      </c>
      <c r="F202" s="235">
        <v>56</v>
      </c>
      <c r="G202" s="159">
        <v>1.25997291058242</v>
      </c>
      <c r="H202" s="225"/>
      <c r="I202" s="159"/>
      <c r="J202" s="60"/>
      <c r="K202" s="159"/>
      <c r="L202" s="64">
        <v>24</v>
      </c>
      <c r="M202" s="159">
        <v>0.53998839024960998</v>
      </c>
      <c r="N202" s="236">
        <v>184</v>
      </c>
      <c r="O202" s="227">
        <v>4.1399109919136698</v>
      </c>
    </row>
    <row r="203" spans="1:15" x14ac:dyDescent="0.3">
      <c r="A203" s="61" t="s">
        <v>24</v>
      </c>
      <c r="B203" s="60"/>
      <c r="C203" s="159"/>
      <c r="D203" s="235"/>
      <c r="E203" s="159"/>
      <c r="F203" s="235"/>
      <c r="G203" s="159"/>
      <c r="H203" s="225">
        <v>29</v>
      </c>
      <c r="I203" s="159">
        <v>0.62749917775969799</v>
      </c>
      <c r="J203" s="60">
        <v>42</v>
      </c>
      <c r="K203" s="159">
        <v>0.90879191261749404</v>
      </c>
      <c r="L203" s="64"/>
      <c r="M203" s="159"/>
      <c r="N203" s="236">
        <v>71</v>
      </c>
      <c r="O203" s="227">
        <v>1.53629109037719</v>
      </c>
    </row>
    <row r="204" spans="1:15" x14ac:dyDescent="0.3">
      <c r="A204" s="61" t="s">
        <v>6</v>
      </c>
      <c r="B204" s="60">
        <v>59</v>
      </c>
      <c r="C204" s="159">
        <v>0.14143213702520799</v>
      </c>
      <c r="D204" s="235">
        <v>132</v>
      </c>
      <c r="E204" s="159">
        <v>0.31642444215809101</v>
      </c>
      <c r="F204" s="235">
        <v>45</v>
      </c>
      <c r="G204" s="159">
        <v>0.10787196891753099</v>
      </c>
      <c r="H204" s="225">
        <v>81</v>
      </c>
      <c r="I204" s="159">
        <v>0.19416954405155601</v>
      </c>
      <c r="J204" s="60">
        <v>34</v>
      </c>
      <c r="K204" s="159">
        <v>8.15032654043569E-2</v>
      </c>
      <c r="L204" s="64">
        <v>32</v>
      </c>
      <c r="M204" s="159">
        <v>7.67089556746888E-2</v>
      </c>
      <c r="N204" s="236">
        <v>383</v>
      </c>
      <c r="O204" s="227">
        <v>0.918110313231432</v>
      </c>
    </row>
    <row r="205" spans="1:15" x14ac:dyDescent="0.3">
      <c r="A205" s="61" t="s">
        <v>22</v>
      </c>
      <c r="B205" s="60"/>
      <c r="C205" s="159"/>
      <c r="D205" s="235"/>
      <c r="E205" s="159"/>
      <c r="F205" s="235"/>
      <c r="G205" s="159"/>
      <c r="H205" s="225"/>
      <c r="I205" s="159"/>
      <c r="J205" s="60"/>
      <c r="K205" s="159"/>
      <c r="L205" s="64">
        <v>56</v>
      </c>
      <c r="M205" s="159">
        <v>0.64713624875917397</v>
      </c>
      <c r="N205" s="236">
        <v>56</v>
      </c>
      <c r="O205" s="227">
        <v>0.64713624875917397</v>
      </c>
    </row>
    <row r="206" spans="1:15" x14ac:dyDescent="0.3">
      <c r="A206" s="61" t="s">
        <v>7</v>
      </c>
      <c r="B206" s="60"/>
      <c r="C206" s="159"/>
      <c r="D206" s="235">
        <v>82</v>
      </c>
      <c r="E206" s="159">
        <v>0.98599288882689695</v>
      </c>
      <c r="F206" s="235">
        <v>81</v>
      </c>
      <c r="G206" s="159">
        <v>0.97396858530461805</v>
      </c>
      <c r="H206" s="225">
        <v>11</v>
      </c>
      <c r="I206" s="159">
        <v>0.13226733874507199</v>
      </c>
      <c r="J206" s="60">
        <v>7</v>
      </c>
      <c r="K206" s="159">
        <v>8.4170124655954595E-2</v>
      </c>
      <c r="L206" s="64">
        <v>111</v>
      </c>
      <c r="M206" s="159">
        <v>1.33469769097299</v>
      </c>
      <c r="N206" s="236">
        <v>292</v>
      </c>
      <c r="O206" s="227">
        <v>3.5110966285055398</v>
      </c>
    </row>
    <row r="207" spans="1:15" x14ac:dyDescent="0.3">
      <c r="A207" s="61" t="s">
        <v>8</v>
      </c>
      <c r="B207" s="60"/>
      <c r="C207" s="159"/>
      <c r="D207" s="235">
        <v>1829</v>
      </c>
      <c r="E207" s="159">
        <v>4.7774290118192404</v>
      </c>
      <c r="F207" s="235">
        <v>653</v>
      </c>
      <c r="G207" s="159">
        <v>1.70566492330124</v>
      </c>
      <c r="H207" s="225"/>
      <c r="I207" s="159"/>
      <c r="J207" s="60"/>
      <c r="K207" s="159"/>
      <c r="L207" s="64">
        <v>781</v>
      </c>
      <c r="M207" s="159">
        <v>2.0400065927997999</v>
      </c>
      <c r="N207" s="236">
        <v>3263</v>
      </c>
      <c r="O207" s="227">
        <v>8.5231005279202705</v>
      </c>
    </row>
    <row r="208" spans="1:15" x14ac:dyDescent="0.3">
      <c r="A208" s="61" t="s">
        <v>9</v>
      </c>
      <c r="B208" s="60">
        <v>1</v>
      </c>
      <c r="C208" s="159">
        <v>3.1471767778637702E-3</v>
      </c>
      <c r="D208" s="235"/>
      <c r="E208" s="159"/>
      <c r="F208" s="235"/>
      <c r="G208" s="159"/>
      <c r="H208" s="225">
        <v>0</v>
      </c>
      <c r="I208" s="159">
        <v>0</v>
      </c>
      <c r="J208" s="60">
        <v>3</v>
      </c>
      <c r="K208" s="159">
        <v>9.4415303335913005E-3</v>
      </c>
      <c r="L208" s="64">
        <v>160</v>
      </c>
      <c r="M208" s="159">
        <v>0.50354828445820299</v>
      </c>
      <c r="N208" s="236">
        <v>164</v>
      </c>
      <c r="O208" s="227">
        <v>0.51613699156965798</v>
      </c>
    </row>
    <row r="209" spans="1:15" x14ac:dyDescent="0.3">
      <c r="A209" s="61" t="s">
        <v>10</v>
      </c>
      <c r="B209" s="60"/>
      <c r="C209" s="159"/>
      <c r="D209" s="235"/>
      <c r="E209" s="159"/>
      <c r="F209" s="235"/>
      <c r="G209" s="159"/>
      <c r="H209" s="225">
        <v>10</v>
      </c>
      <c r="I209" s="159">
        <v>0.13517605329180701</v>
      </c>
      <c r="J209" s="60">
        <v>35</v>
      </c>
      <c r="K209" s="159">
        <v>0.47311618652132498</v>
      </c>
      <c r="L209" s="64">
        <v>164</v>
      </c>
      <c r="M209" s="159">
        <v>2.2168872739856398</v>
      </c>
      <c r="N209" s="236">
        <v>209</v>
      </c>
      <c r="O209" s="227">
        <v>2.8251795137987701</v>
      </c>
    </row>
    <row r="210" spans="1:15" x14ac:dyDescent="0.3">
      <c r="A210" s="61" t="s">
        <v>11</v>
      </c>
      <c r="B210" s="60"/>
      <c r="C210" s="159"/>
      <c r="D210" s="235">
        <v>613</v>
      </c>
      <c r="E210" s="159">
        <v>4.7794513221069499</v>
      </c>
      <c r="F210" s="235">
        <v>59</v>
      </c>
      <c r="G210" s="159">
        <v>0.46001244372644401</v>
      </c>
      <c r="H210" s="225">
        <v>9</v>
      </c>
      <c r="I210" s="159">
        <v>7.0171389720982996E-2</v>
      </c>
      <c r="J210" s="60"/>
      <c r="K210" s="159"/>
      <c r="L210" s="64">
        <v>11</v>
      </c>
      <c r="M210" s="159">
        <v>8.5765031881201395E-2</v>
      </c>
      <c r="N210" s="236">
        <v>692</v>
      </c>
      <c r="O210" s="227">
        <v>5.3954001874355804</v>
      </c>
    </row>
    <row r="211" spans="1:15" x14ac:dyDescent="0.3">
      <c r="A211" s="61" t="s">
        <v>12</v>
      </c>
      <c r="B211" s="60"/>
      <c r="C211" s="159"/>
      <c r="D211" s="225">
        <v>2770</v>
      </c>
      <c r="E211" s="159">
        <v>5.6507720851859</v>
      </c>
      <c r="F211" s="235">
        <v>305</v>
      </c>
      <c r="G211" s="159">
        <v>0.62219692634718404</v>
      </c>
      <c r="H211" s="225">
        <v>18</v>
      </c>
      <c r="I211" s="159">
        <v>3.6719818604096101E-2</v>
      </c>
      <c r="J211" s="60">
        <v>14</v>
      </c>
      <c r="K211" s="159">
        <v>2.8559858914297E-2</v>
      </c>
      <c r="L211" s="64">
        <v>138</v>
      </c>
      <c r="M211" s="159">
        <v>0.28151860929806999</v>
      </c>
      <c r="N211" s="236">
        <v>3245</v>
      </c>
      <c r="O211" s="227">
        <v>6.6197672983495499</v>
      </c>
    </row>
    <row r="212" spans="1:15" x14ac:dyDescent="0.3">
      <c r="A212" s="61" t="s">
        <v>13</v>
      </c>
      <c r="B212" s="60"/>
      <c r="C212" s="159"/>
      <c r="D212" s="235"/>
      <c r="E212" s="159"/>
      <c r="F212" s="235"/>
      <c r="G212" s="159"/>
      <c r="H212" s="225"/>
      <c r="I212" s="159"/>
      <c r="J212" s="60"/>
      <c r="K212" s="159"/>
      <c r="L212" s="64"/>
      <c r="M212" s="159"/>
      <c r="N212" s="236"/>
      <c r="O212" s="227"/>
    </row>
    <row r="213" spans="1:15" x14ac:dyDescent="0.3">
      <c r="A213" s="61" t="s">
        <v>14</v>
      </c>
      <c r="B213" s="60"/>
      <c r="C213" s="159"/>
      <c r="D213" s="235"/>
      <c r="E213" s="159"/>
      <c r="F213" s="235"/>
      <c r="G213" s="159"/>
      <c r="H213" s="225"/>
      <c r="I213" s="159"/>
      <c r="J213" s="60"/>
      <c r="K213" s="159"/>
      <c r="L213" s="64">
        <v>0</v>
      </c>
      <c r="M213" s="159">
        <v>0</v>
      </c>
      <c r="N213" s="236">
        <v>0</v>
      </c>
      <c r="O213" s="227">
        <v>0</v>
      </c>
    </row>
    <row r="214" spans="1:15" x14ac:dyDescent="0.3">
      <c r="A214" s="61" t="s">
        <v>15</v>
      </c>
      <c r="B214" s="60">
        <v>0</v>
      </c>
      <c r="C214" s="159">
        <v>0</v>
      </c>
      <c r="D214" s="235"/>
      <c r="E214" s="159"/>
      <c r="F214" s="235"/>
      <c r="G214" s="159"/>
      <c r="H214" s="225">
        <v>0</v>
      </c>
      <c r="I214" s="159">
        <v>0</v>
      </c>
      <c r="J214" s="60">
        <v>5</v>
      </c>
      <c r="K214" s="159">
        <v>1.26819414733474E-2</v>
      </c>
      <c r="L214" s="64">
        <v>56</v>
      </c>
      <c r="M214" s="159">
        <v>0.14203774450149101</v>
      </c>
      <c r="N214" s="236">
        <v>61</v>
      </c>
      <c r="O214" s="227">
        <v>0.15471968597483801</v>
      </c>
    </row>
    <row r="215" spans="1:15" x14ac:dyDescent="0.3">
      <c r="A215" s="61" t="s">
        <v>16</v>
      </c>
      <c r="B215" s="60"/>
      <c r="C215" s="159"/>
      <c r="D215" s="235">
        <v>333</v>
      </c>
      <c r="E215" s="159">
        <v>0.99575979761854905</v>
      </c>
      <c r="F215" s="235">
        <v>71</v>
      </c>
      <c r="G215" s="159">
        <v>0.21230914603879</v>
      </c>
      <c r="H215" s="225"/>
      <c r="I215" s="159"/>
      <c r="J215" s="60"/>
      <c r="K215" s="159"/>
      <c r="L215" s="64">
        <v>35</v>
      </c>
      <c r="M215" s="159">
        <v>0.104659438188136</v>
      </c>
      <c r="N215" s="236">
        <v>439</v>
      </c>
      <c r="O215" s="227">
        <v>1.31272838184547</v>
      </c>
    </row>
    <row r="216" spans="1:15" x14ac:dyDescent="0.3">
      <c r="A216" s="61" t="s">
        <v>17</v>
      </c>
      <c r="B216" s="60"/>
      <c r="C216" s="159"/>
      <c r="D216" s="235">
        <v>1</v>
      </c>
      <c r="E216" s="159">
        <v>2.1529637699256799E-2</v>
      </c>
      <c r="F216" s="235"/>
      <c r="G216" s="159"/>
      <c r="H216" s="225"/>
      <c r="I216" s="159"/>
      <c r="J216" s="60"/>
      <c r="K216" s="159"/>
      <c r="L216" s="64">
        <v>26</v>
      </c>
      <c r="M216" s="159">
        <v>0.55977058018067705</v>
      </c>
      <c r="N216" s="236">
        <v>27</v>
      </c>
      <c r="O216" s="227">
        <v>0.58130021787993402</v>
      </c>
    </row>
    <row r="217" spans="1:15" x14ac:dyDescent="0.3">
      <c r="A217" s="61" t="s">
        <v>18</v>
      </c>
      <c r="B217" s="60"/>
      <c r="C217" s="159"/>
      <c r="D217" s="235"/>
      <c r="E217" s="159"/>
      <c r="F217" s="235"/>
      <c r="G217" s="159"/>
      <c r="H217" s="235"/>
      <c r="I217" s="159"/>
      <c r="J217" s="60">
        <v>13</v>
      </c>
      <c r="K217" s="159">
        <v>8.28124641676838E-2</v>
      </c>
      <c r="L217" s="64">
        <v>34</v>
      </c>
      <c r="M217" s="159">
        <v>0.21658644474625</v>
      </c>
      <c r="N217" s="236">
        <v>47</v>
      </c>
      <c r="O217" s="227">
        <v>0.299398908913934</v>
      </c>
    </row>
    <row r="218" spans="1:15" x14ac:dyDescent="0.3">
      <c r="A218" s="61" t="s">
        <v>19</v>
      </c>
      <c r="B218" s="60"/>
      <c r="C218" s="159"/>
      <c r="D218" s="235"/>
      <c r="E218" s="159"/>
      <c r="F218" s="235"/>
      <c r="G218" s="159"/>
      <c r="H218" s="235"/>
      <c r="I218" s="159"/>
      <c r="J218" s="60"/>
      <c r="K218" s="159"/>
      <c r="L218" s="64">
        <v>409</v>
      </c>
      <c r="M218" s="159">
        <v>1.0046232318999599</v>
      </c>
      <c r="N218" s="236">
        <v>409</v>
      </c>
      <c r="O218" s="227">
        <v>1.0046232318999599</v>
      </c>
    </row>
    <row r="219" spans="1:15" x14ac:dyDescent="0.3">
      <c r="A219" s="61" t="s">
        <v>20</v>
      </c>
      <c r="B219" s="60"/>
      <c r="C219" s="159"/>
      <c r="D219" s="235"/>
      <c r="E219" s="159"/>
      <c r="F219" s="235"/>
      <c r="G219" s="159"/>
      <c r="H219" s="235"/>
      <c r="I219" s="159"/>
      <c r="J219" s="60"/>
      <c r="K219" s="159"/>
      <c r="L219" s="64"/>
      <c r="M219" s="159"/>
      <c r="N219" s="236"/>
      <c r="O219" s="227"/>
    </row>
    <row r="220" spans="1:15" ht="14.5" thickBot="1" x14ac:dyDescent="0.35">
      <c r="A220" s="58" t="s">
        <v>1</v>
      </c>
      <c r="B220" s="62">
        <v>61</v>
      </c>
      <c r="C220" s="160">
        <v>1.3061725668515701E-2</v>
      </c>
      <c r="D220" s="228">
        <v>5883</v>
      </c>
      <c r="E220" s="160">
        <v>1.2597070837357001</v>
      </c>
      <c r="F220" s="240">
        <v>1409</v>
      </c>
      <c r="G220" s="160">
        <v>0.301704450277683</v>
      </c>
      <c r="H220" s="228">
        <v>189</v>
      </c>
      <c r="I220" s="160">
        <v>4.0469936907368401E-2</v>
      </c>
      <c r="J220" s="63">
        <v>821</v>
      </c>
      <c r="K220" s="160">
        <v>0.17579797989920301</v>
      </c>
      <c r="L220" s="63">
        <v>4344</v>
      </c>
      <c r="M220" s="160">
        <v>0.93016616891856196</v>
      </c>
      <c r="N220" s="63">
        <v>12707</v>
      </c>
      <c r="O220" s="229">
        <v>2.7209073454070398</v>
      </c>
    </row>
  </sheetData>
  <mergeCells count="75">
    <mergeCell ref="A107:K107"/>
    <mergeCell ref="A136:K136"/>
    <mergeCell ref="A165:K165"/>
    <mergeCell ref="A194:K194"/>
    <mergeCell ref="A78:K78"/>
    <mergeCell ref="A80:A82"/>
    <mergeCell ref="B80:I80"/>
    <mergeCell ref="J80:Q80"/>
    <mergeCell ref="A138:A140"/>
    <mergeCell ref="J139:K139"/>
    <mergeCell ref="L139:M139"/>
    <mergeCell ref="N139:O139"/>
    <mergeCell ref="B139:C139"/>
    <mergeCell ref="D139:E139"/>
    <mergeCell ref="F139:G139"/>
    <mergeCell ref="H139:I139"/>
    <mergeCell ref="B81:H81"/>
    <mergeCell ref="I81:I82"/>
    <mergeCell ref="J81:P81"/>
    <mergeCell ref="Q81:Q82"/>
    <mergeCell ref="R80:Y80"/>
    <mergeCell ref="R81:X81"/>
    <mergeCell ref="Y81:Y82"/>
    <mergeCell ref="A51:A53"/>
    <mergeCell ref="B51:O51"/>
    <mergeCell ref="B52:C52"/>
    <mergeCell ref="D52:E52"/>
    <mergeCell ref="F52:G52"/>
    <mergeCell ref="H52:I52"/>
    <mergeCell ref="J52:K52"/>
    <mergeCell ref="L52:M52"/>
    <mergeCell ref="N52:O52"/>
    <mergeCell ref="L4:M4"/>
    <mergeCell ref="N4:O4"/>
    <mergeCell ref="B3:O3"/>
    <mergeCell ref="A30:K30"/>
    <mergeCell ref="A49:K49"/>
    <mergeCell ref="A32:A35"/>
    <mergeCell ref="B33:H33"/>
    <mergeCell ref="I33:I35"/>
    <mergeCell ref="J33:P33"/>
    <mergeCell ref="A1:K1"/>
    <mergeCell ref="A3:A5"/>
    <mergeCell ref="B4:C4"/>
    <mergeCell ref="D4:E4"/>
    <mergeCell ref="F4:G4"/>
    <mergeCell ref="H4:I4"/>
    <mergeCell ref="J4:K4"/>
    <mergeCell ref="Q33:Q35"/>
    <mergeCell ref="B34:H34"/>
    <mergeCell ref="J34:P34"/>
    <mergeCell ref="B32:Y32"/>
    <mergeCell ref="R33:X33"/>
    <mergeCell ref="Y33:Y35"/>
    <mergeCell ref="R34:X34"/>
    <mergeCell ref="A167:A169"/>
    <mergeCell ref="B168:C168"/>
    <mergeCell ref="D168:E168"/>
    <mergeCell ref="F168:G168"/>
    <mergeCell ref="B110:C110"/>
    <mergeCell ref="D110:E110"/>
    <mergeCell ref="F110:G110"/>
    <mergeCell ref="A109:A111"/>
    <mergeCell ref="B138:O138"/>
    <mergeCell ref="B109:G109"/>
    <mergeCell ref="B167:G167"/>
    <mergeCell ref="A196:A198"/>
    <mergeCell ref="B196:O196"/>
    <mergeCell ref="B197:C197"/>
    <mergeCell ref="D197:E197"/>
    <mergeCell ref="F197:G197"/>
    <mergeCell ref="H197:I197"/>
    <mergeCell ref="J197:K197"/>
    <mergeCell ref="L197:M197"/>
    <mergeCell ref="N197:O197"/>
  </mergeCells>
  <hyperlinks>
    <hyperlink ref="A112" r:id="rId1" xr:uid="{00000000-0004-0000-0400-000023000000}"/>
    <hyperlink ref="A114" r:id="rId2" xr:uid="{00000000-0004-0000-0400-000024000000}"/>
    <hyperlink ref="A116" r:id="rId3" display="PROV. AUTON. TRENTO" xr:uid="{00000000-0004-0000-0400-000025000000}"/>
    <hyperlink ref="A117" r:id="rId4" xr:uid="{00000000-0004-0000-0400-000026000000}"/>
    <hyperlink ref="A118" r:id="rId5" xr:uid="{00000000-0004-0000-0400-000027000000}"/>
    <hyperlink ref="A119" r:id="rId6" xr:uid="{00000000-0004-0000-0400-000028000000}"/>
    <hyperlink ref="A120" r:id="rId7" xr:uid="{00000000-0004-0000-0400-000029000000}"/>
    <hyperlink ref="A121" r:id="rId8" xr:uid="{00000000-0004-0000-0400-00002A000000}"/>
    <hyperlink ref="A122" r:id="rId9" xr:uid="{00000000-0004-0000-0400-00002B000000}"/>
    <hyperlink ref="A123" r:id="rId10" xr:uid="{00000000-0004-0000-0400-00002C000000}"/>
    <hyperlink ref="A124" r:id="rId11" xr:uid="{00000000-0004-0000-0400-00002D000000}"/>
    <hyperlink ref="A125" r:id="rId12" xr:uid="{00000000-0004-0000-0400-00002E000000}"/>
    <hyperlink ref="A126" r:id="rId13" xr:uid="{00000000-0004-0000-0400-00002F000000}"/>
    <hyperlink ref="A127" r:id="rId14" xr:uid="{00000000-0004-0000-0400-000030000000}"/>
    <hyperlink ref="A128" r:id="rId15" xr:uid="{00000000-0004-0000-0400-000031000000}"/>
    <hyperlink ref="A129" r:id="rId16" xr:uid="{00000000-0004-0000-0400-000032000000}"/>
    <hyperlink ref="A130" r:id="rId17" xr:uid="{00000000-0004-0000-0400-000033000000}"/>
    <hyperlink ref="A131" r:id="rId18" xr:uid="{00000000-0004-0000-0400-000034000000}"/>
    <hyperlink ref="A170" r:id="rId19" xr:uid="{00000000-0004-0000-0400-000047000000}"/>
    <hyperlink ref="A172" r:id="rId20" xr:uid="{00000000-0004-0000-0400-000048000000}"/>
    <hyperlink ref="A174" r:id="rId21" display="PROV. AUTON. TRENTO" xr:uid="{00000000-0004-0000-0400-000049000000}"/>
    <hyperlink ref="A175" r:id="rId22" xr:uid="{00000000-0004-0000-0400-00004A000000}"/>
    <hyperlink ref="A176" r:id="rId23" xr:uid="{00000000-0004-0000-0400-00004B000000}"/>
    <hyperlink ref="A177" r:id="rId24" xr:uid="{00000000-0004-0000-0400-00004C000000}"/>
    <hyperlink ref="A178" r:id="rId25" xr:uid="{00000000-0004-0000-0400-00004D000000}"/>
    <hyperlink ref="A179" r:id="rId26" xr:uid="{00000000-0004-0000-0400-00004E000000}"/>
    <hyperlink ref="A180" r:id="rId27" xr:uid="{00000000-0004-0000-0400-00004F000000}"/>
    <hyperlink ref="A181" r:id="rId28" xr:uid="{00000000-0004-0000-0400-000050000000}"/>
    <hyperlink ref="A182" r:id="rId29" xr:uid="{00000000-0004-0000-0400-000051000000}"/>
    <hyperlink ref="A183" r:id="rId30" xr:uid="{00000000-0004-0000-0400-000052000000}"/>
    <hyperlink ref="A184" r:id="rId31" xr:uid="{00000000-0004-0000-0400-000053000000}"/>
    <hyperlink ref="A185" r:id="rId32" xr:uid="{00000000-0004-0000-0400-000054000000}"/>
    <hyperlink ref="A186" r:id="rId33" xr:uid="{00000000-0004-0000-0400-000055000000}"/>
    <hyperlink ref="A187" r:id="rId34" xr:uid="{00000000-0004-0000-0400-000056000000}"/>
    <hyperlink ref="A188" r:id="rId35" xr:uid="{00000000-0004-0000-0400-000057000000}"/>
    <hyperlink ref="A189" r:id="rId36" xr:uid="{00000000-0004-0000-0400-000058000000}"/>
    <hyperlink ref="A25" r:id="rId37" xr:uid="{E950A574-9AE8-4AEA-BEC0-074DC0D4CC56}"/>
    <hyperlink ref="A24" r:id="rId38" xr:uid="{F45F9236-9877-4461-8003-2A86308B40B6}"/>
    <hyperlink ref="A23" r:id="rId39" xr:uid="{C6F4501B-C104-453F-BE5B-536D7F63F4FD}"/>
    <hyperlink ref="A22" r:id="rId40" xr:uid="{250C6E79-FE94-4127-A8D2-8DAD472480F9}"/>
    <hyperlink ref="A21" r:id="rId41" xr:uid="{3DDA650A-4DFF-4B50-97C0-13625E598107}"/>
    <hyperlink ref="A20" r:id="rId42" xr:uid="{46DC84BC-9542-4260-BE3C-17883D489366}"/>
    <hyperlink ref="A19" r:id="rId43" xr:uid="{8648F77A-60CC-4EEE-B2F2-C6D247F7778A}"/>
    <hyperlink ref="A18" r:id="rId44" xr:uid="{7718D3C7-1A02-46FF-92DD-79F1101EE474}"/>
    <hyperlink ref="A17" r:id="rId45" xr:uid="{CB1710BE-16B8-4D1E-818E-BAC79E63C873}"/>
    <hyperlink ref="A16" r:id="rId46" xr:uid="{D160B92F-C8DD-42A2-AE6E-27D82D500283}"/>
    <hyperlink ref="A15" r:id="rId47" xr:uid="{B2A2D37B-5191-413F-8C82-E1989405BA9B}"/>
    <hyperlink ref="A14" r:id="rId48" xr:uid="{9516C4FD-780D-4AD7-960C-A8AEE5857486}"/>
    <hyperlink ref="A13" r:id="rId49" xr:uid="{1BD76B21-9FD0-403C-9F6F-26814242E98A}"/>
    <hyperlink ref="A12" r:id="rId50" xr:uid="{7509A540-B818-4F1F-A854-083FD13B2B6E}"/>
    <hyperlink ref="A11" r:id="rId51" xr:uid="{E0A92516-17E4-4601-8417-B29DC2D74640}"/>
    <hyperlink ref="A10" r:id="rId52" display="PROV. AUTON. TRENTO" xr:uid="{3DD874E3-3069-4CB6-A0EE-E300F42882F2}"/>
    <hyperlink ref="A8" r:id="rId53" xr:uid="{76990AC7-4039-417D-A6AC-BA027B8CEAB7}"/>
    <hyperlink ref="A54" r:id="rId54" xr:uid="{05E4C678-3AD8-4103-ACF7-4C3179EE59C1}"/>
    <hyperlink ref="A56" r:id="rId55" xr:uid="{0F8E6D7F-476E-4257-87B6-C28E3B7BF195}"/>
    <hyperlink ref="A58" r:id="rId56" display="PROV. AUTON. TRENTO" xr:uid="{AAD078FF-D039-45F8-85F2-B16159D36453}"/>
    <hyperlink ref="A59" r:id="rId57" xr:uid="{EEB3BB2C-6D4B-485C-9869-0CB4325C0195}"/>
    <hyperlink ref="A60" r:id="rId58" xr:uid="{4C3E693B-ED75-4AFD-94BE-B6AAF1C5AC5B}"/>
    <hyperlink ref="A61" r:id="rId59" xr:uid="{F4BAB3F4-E61E-4ED3-B6CC-067C54D8B596}"/>
    <hyperlink ref="A62" r:id="rId60" xr:uid="{A5FDD5A6-34FB-4CF8-A7DE-677FD70F50F1}"/>
    <hyperlink ref="A63" r:id="rId61" xr:uid="{2551F05E-80BC-4824-983F-823A58716743}"/>
    <hyperlink ref="A64" r:id="rId62" xr:uid="{04FCDC65-9163-4D94-803F-BB2912CDC27B}"/>
    <hyperlink ref="A65" r:id="rId63" xr:uid="{541FE00E-CB80-4A25-93D6-4CBD05B5BD00}"/>
    <hyperlink ref="A66" r:id="rId64" xr:uid="{24C94830-15FE-4C31-9E0A-C0C506D3C646}"/>
    <hyperlink ref="A67" r:id="rId65" xr:uid="{2B0308B3-A83F-484A-9802-AD579A186854}"/>
    <hyperlink ref="A68" r:id="rId66" xr:uid="{63B597A4-51CD-4D1F-8365-9774FD209D81}"/>
    <hyperlink ref="A69" r:id="rId67" xr:uid="{6071D582-68B3-4167-A90D-8A1D02597788}"/>
    <hyperlink ref="A70" r:id="rId68" xr:uid="{98036264-7B9D-46F8-AA2D-319243CB5F27}"/>
    <hyperlink ref="A71" r:id="rId69" xr:uid="{9515F78F-FE8A-48E9-817A-5B42E41E7C00}"/>
    <hyperlink ref="A72" r:id="rId70" xr:uid="{BBB495E2-9541-4DA3-8E04-5826782E80A9}"/>
    <hyperlink ref="A73" r:id="rId71" xr:uid="{40B72CE6-FC7C-4C48-BE35-4F53E4D9B9D8}"/>
    <hyperlink ref="A141" r:id="rId72" xr:uid="{881B378A-18C0-4CD2-ADB9-EFA5B5D691F4}"/>
    <hyperlink ref="A143" r:id="rId73" xr:uid="{4D7E190F-AD7B-4509-BD57-3F46710DBDFF}"/>
    <hyperlink ref="A145" r:id="rId74" display="PROV. AUTON. TRENTO" xr:uid="{6B1F5D22-53A7-4FD6-A007-F4E2F3BEA6DA}"/>
    <hyperlink ref="A146" r:id="rId75" xr:uid="{8AF24B63-7D5C-40C4-AD20-559D4D2AD83A}"/>
    <hyperlink ref="A148" r:id="rId76" xr:uid="{2A91B627-F838-4A9E-8407-C59F59F70843}"/>
    <hyperlink ref="A149" r:id="rId77" xr:uid="{7262371B-6AC1-4672-9707-E32195FA8C31}"/>
    <hyperlink ref="A150" r:id="rId78" xr:uid="{039FCE6E-E079-4B46-BEC6-283294209D66}"/>
    <hyperlink ref="A151" r:id="rId79" xr:uid="{5CCA32D5-217A-422A-B58E-003436F8D2A1}"/>
    <hyperlink ref="A152" r:id="rId80" xr:uid="{4D206A46-92FD-4E96-B7EB-474C95F635C6}"/>
    <hyperlink ref="A153" r:id="rId81" xr:uid="{793CED66-F432-475B-81D8-3A49F514E97E}"/>
    <hyperlink ref="A154" r:id="rId82" xr:uid="{F2B463D1-D134-4082-8FDE-E5E2C48F3BE3}"/>
    <hyperlink ref="A155" r:id="rId83" xr:uid="{18161F30-D7A8-4F2C-B459-EA7C3594B9BC}"/>
    <hyperlink ref="A156" r:id="rId84" xr:uid="{123EC952-3C26-4D9B-B4CE-DEFDF88402F8}"/>
    <hyperlink ref="A157" r:id="rId85" xr:uid="{B5DBC0AE-236B-4F75-BC77-EF3CBDF9EF44}"/>
    <hyperlink ref="A158" r:id="rId86" xr:uid="{73CCEA19-ABC7-46CD-90E8-9D4CF60C87B4}"/>
    <hyperlink ref="A159" r:id="rId87" xr:uid="{41963E86-3137-417D-A1FF-BDB6C08B9A4C}"/>
    <hyperlink ref="A160" r:id="rId88" xr:uid="{874D353B-6C26-4B22-ABA6-70D98682713C}"/>
    <hyperlink ref="A147" r:id="rId89" xr:uid="{F9EEE6BE-0D15-4584-9480-30C2BB0F845B}"/>
    <hyperlink ref="A199" r:id="rId90" xr:uid="{73ED1271-9101-42AD-A288-6B71B78B1539}"/>
    <hyperlink ref="A201" r:id="rId91" xr:uid="{131B3F69-824B-471B-9FF4-1DF2A7F456E7}"/>
    <hyperlink ref="A203" r:id="rId92" display="PROV. AUTON. TRENTO" xr:uid="{F97597E8-C5F7-4C5D-8BB6-D21138F60AE6}"/>
    <hyperlink ref="A204" r:id="rId93" xr:uid="{9B44CAD3-CC13-4D80-87DB-A8294AB68D1A}"/>
    <hyperlink ref="A205" r:id="rId94" xr:uid="{57C9C96A-E3F6-4713-8D0E-92B2AABC350D}"/>
    <hyperlink ref="A206" r:id="rId95" xr:uid="{58C0E166-95F9-4FCF-BF3E-9ECD3CDEF7BC}"/>
    <hyperlink ref="A207" r:id="rId96" xr:uid="{77C6D89D-121F-43FC-9028-E414CCC88DAE}"/>
    <hyperlink ref="A208" r:id="rId97" xr:uid="{D75BD1A5-49D0-4D80-8169-8B73A1463184}"/>
    <hyperlink ref="A209" r:id="rId98" xr:uid="{0CC0CCCC-970C-4B5E-9589-29C6B5D0F4F0}"/>
    <hyperlink ref="A210" r:id="rId99" xr:uid="{F1C0132C-30E3-419A-BE59-BACEE0E63F02}"/>
    <hyperlink ref="A211" r:id="rId100" xr:uid="{06CEAEEB-43B7-455D-BBDE-8105586631A8}"/>
    <hyperlink ref="A212" r:id="rId101" xr:uid="{08EE5B02-2D93-4BD9-A710-0B7BA754C5C6}"/>
    <hyperlink ref="A213" r:id="rId102" xr:uid="{5B1FA7CD-1E65-46CA-B7F9-F8D7C7D3BAB4}"/>
    <hyperlink ref="A214" r:id="rId103" xr:uid="{AA4A61FA-A8EF-4CF7-90CE-874D4720B9E7}"/>
    <hyperlink ref="A215" r:id="rId104" xr:uid="{FCBEAA8D-5723-4F84-B2D0-CDDBD53E2192}"/>
    <hyperlink ref="A216" r:id="rId105" xr:uid="{B0A29E3D-5D07-4083-BFC0-4E607B851779}"/>
    <hyperlink ref="A217" r:id="rId106" xr:uid="{835FFD8F-5B1E-48ED-8E0E-90DA23AB3776}"/>
    <hyperlink ref="A218" r:id="rId107" xr:uid="{11175BD1-7D52-497D-870E-4E13A467B763}"/>
  </hyperlinks>
  <pageMargins left="0.7" right="0.7" top="0.75" bottom="0.75" header="0.3" footer="0.3"/>
  <pageSetup paperSize="9" orientation="portrait" r:id="rId10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34"/>
  <sheetViews>
    <sheetView zoomScale="64" zoomScaleNormal="64" workbookViewId="0">
      <selection activeCell="T112" sqref="T112"/>
    </sheetView>
  </sheetViews>
  <sheetFormatPr defaultColWidth="8.83203125" defaultRowHeight="14" x14ac:dyDescent="0.3"/>
  <cols>
    <col min="1" max="1" width="15" customWidth="1"/>
    <col min="2" max="2" width="10.33203125" customWidth="1"/>
    <col min="3" max="3" width="9.1640625" customWidth="1"/>
    <col min="4" max="4" width="10.6640625" customWidth="1"/>
    <col min="5" max="5" width="9.83203125" customWidth="1"/>
    <col min="6" max="6" width="10.6640625" customWidth="1"/>
    <col min="7" max="7" width="11.6640625" customWidth="1"/>
    <col min="8" max="8" width="10.6640625" customWidth="1"/>
    <col min="9" max="9" width="13.5" customWidth="1"/>
    <col min="10" max="10" width="11.5" customWidth="1"/>
    <col min="11" max="11" width="11.6640625" customWidth="1"/>
    <col min="12" max="12" width="8.6640625" customWidth="1"/>
    <col min="13" max="13" width="11.83203125" customWidth="1"/>
    <col min="14" max="14" width="12.1640625" bestFit="1" customWidth="1"/>
    <col min="15" max="15" width="9.6640625" customWidth="1"/>
    <col min="16" max="16" width="8.5" customWidth="1"/>
    <col min="17" max="17" width="10.33203125" customWidth="1"/>
    <col min="20" max="20" width="10.6640625" customWidth="1"/>
  </cols>
  <sheetData>
    <row r="1" spans="1:11" s="88" customFormat="1" ht="31.5" customHeight="1" x14ac:dyDescent="0.3">
      <c r="A1" s="478" t="s">
        <v>248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</row>
    <row r="2" spans="1:11" ht="11.25" customHeight="1" thickBot="1" x14ac:dyDescent="0.35"/>
    <row r="3" spans="1:11" ht="11.25" customHeight="1" x14ac:dyDescent="0.3">
      <c r="A3" s="588" t="s">
        <v>2</v>
      </c>
      <c r="B3" s="639" t="s">
        <v>63</v>
      </c>
      <c r="C3" s="640"/>
      <c r="D3" s="640"/>
      <c r="E3" s="640"/>
      <c r="F3" s="640"/>
      <c r="G3" s="641"/>
    </row>
    <row r="4" spans="1:11" ht="41.25" customHeight="1" x14ac:dyDescent="0.3">
      <c r="A4" s="589"/>
      <c r="B4" s="592" t="s">
        <v>51</v>
      </c>
      <c r="C4" s="592"/>
      <c r="D4" s="592" t="s">
        <v>52</v>
      </c>
      <c r="E4" s="592"/>
      <c r="F4" s="592" t="s">
        <v>0</v>
      </c>
      <c r="G4" s="593"/>
    </row>
    <row r="5" spans="1:11" ht="39" x14ac:dyDescent="0.3">
      <c r="A5" s="589"/>
      <c r="B5" s="182" t="s">
        <v>53</v>
      </c>
      <c r="C5" s="182" t="s">
        <v>54</v>
      </c>
      <c r="D5" s="182" t="s">
        <v>53</v>
      </c>
      <c r="E5" s="182" t="s">
        <v>54</v>
      </c>
      <c r="F5" s="182" t="s">
        <v>53</v>
      </c>
      <c r="G5" s="183" t="s">
        <v>54</v>
      </c>
    </row>
    <row r="6" spans="1:11" ht="11.25" customHeight="1" x14ac:dyDescent="0.3">
      <c r="A6" s="36" t="s">
        <v>3</v>
      </c>
      <c r="B6" s="34">
        <v>2072</v>
      </c>
      <c r="C6" s="144">
        <v>5.6223419713526503</v>
      </c>
      <c r="D6" s="34">
        <v>0</v>
      </c>
      <c r="E6" s="144">
        <v>0</v>
      </c>
      <c r="F6" s="245">
        <v>2072</v>
      </c>
      <c r="G6" s="246">
        <v>5.6223419713526503</v>
      </c>
    </row>
    <row r="7" spans="1:11" ht="11.25" customHeight="1" x14ac:dyDescent="0.3">
      <c r="A7" s="36" t="s">
        <v>4</v>
      </c>
      <c r="B7" s="38">
        <v>56</v>
      </c>
      <c r="C7" s="167">
        <v>5.2868593223379197</v>
      </c>
      <c r="D7" s="38"/>
      <c r="E7" s="167">
        <v>0</v>
      </c>
      <c r="F7" s="247">
        <v>56</v>
      </c>
      <c r="G7" s="145">
        <v>5.2868593223379197</v>
      </c>
    </row>
    <row r="8" spans="1:11" ht="11.25" customHeight="1" x14ac:dyDescent="0.3">
      <c r="A8" s="36" t="s">
        <v>5</v>
      </c>
      <c r="B8" s="34">
        <v>5579</v>
      </c>
      <c r="C8" s="144">
        <v>6.5183960376003602</v>
      </c>
      <c r="D8" s="34">
        <v>26</v>
      </c>
      <c r="E8" s="144"/>
      <c r="F8" s="245">
        <v>5605</v>
      </c>
      <c r="G8" s="246">
        <v>6.5487739363237196</v>
      </c>
    </row>
    <row r="9" spans="1:11" ht="11.25" customHeight="1" x14ac:dyDescent="0.3">
      <c r="A9" s="36" t="s">
        <v>23</v>
      </c>
      <c r="B9" s="38">
        <v>194</v>
      </c>
      <c r="C9" s="167">
        <v>4.3649061545176799</v>
      </c>
      <c r="D9" s="38"/>
      <c r="E9" s="167"/>
      <c r="F9" s="247">
        <v>194</v>
      </c>
      <c r="G9" s="145">
        <v>4.3649061545176799</v>
      </c>
    </row>
    <row r="10" spans="1:11" ht="11.25" customHeight="1" x14ac:dyDescent="0.3">
      <c r="A10" s="36" t="s">
        <v>24</v>
      </c>
      <c r="B10" s="34">
        <v>304</v>
      </c>
      <c r="C10" s="144">
        <v>6.5779224151361504</v>
      </c>
      <c r="D10" s="34"/>
      <c r="E10" s="144"/>
      <c r="F10" s="245">
        <v>304</v>
      </c>
      <c r="G10" s="246">
        <v>6.5779224151361504</v>
      </c>
    </row>
    <row r="11" spans="1:11" ht="11.25" customHeight="1" x14ac:dyDescent="0.3">
      <c r="A11" s="36" t="s">
        <v>6</v>
      </c>
      <c r="B11" s="34">
        <v>3920</v>
      </c>
      <c r="C11" s="144">
        <v>9.3968470701493807</v>
      </c>
      <c r="D11" s="34">
        <v>0</v>
      </c>
      <c r="E11" s="144">
        <v>0</v>
      </c>
      <c r="F11" s="245">
        <v>3920</v>
      </c>
      <c r="G11" s="246">
        <v>9.3968470701493807</v>
      </c>
    </row>
    <row r="12" spans="1:11" ht="11.25" customHeight="1" x14ac:dyDescent="0.3">
      <c r="A12" s="36" t="s">
        <v>22</v>
      </c>
      <c r="B12" s="34">
        <v>925</v>
      </c>
      <c r="C12" s="144">
        <v>10.6893041089685</v>
      </c>
      <c r="D12" s="34">
        <v>0</v>
      </c>
      <c r="E12" s="144">
        <v>0</v>
      </c>
      <c r="F12" s="245">
        <v>925</v>
      </c>
      <c r="G12" s="246">
        <v>10.6893041089685</v>
      </c>
    </row>
    <row r="13" spans="1:11" ht="11.25" customHeight="1" x14ac:dyDescent="0.3">
      <c r="A13" s="36" t="s">
        <v>7</v>
      </c>
      <c r="B13" s="34">
        <v>496</v>
      </c>
      <c r="C13" s="144">
        <v>5.9640545470505</v>
      </c>
      <c r="D13" s="34">
        <v>0</v>
      </c>
      <c r="E13" s="144">
        <v>0</v>
      </c>
      <c r="F13" s="245">
        <v>496</v>
      </c>
      <c r="G13" s="246">
        <v>5.9640545470505</v>
      </c>
    </row>
    <row r="14" spans="1:11" ht="11.25" customHeight="1" x14ac:dyDescent="0.3">
      <c r="A14" s="36" t="s">
        <v>8</v>
      </c>
      <c r="B14" s="34">
        <v>813</v>
      </c>
      <c r="C14" s="144">
        <v>2.1235920101744301</v>
      </c>
      <c r="D14" s="34"/>
      <c r="E14" s="144"/>
      <c r="F14" s="245">
        <v>813</v>
      </c>
      <c r="G14" s="246">
        <v>2.1235920101744301</v>
      </c>
    </row>
    <row r="15" spans="1:11" ht="11.25" customHeight="1" x14ac:dyDescent="0.3">
      <c r="A15" s="36" t="s">
        <v>9</v>
      </c>
      <c r="B15" s="34">
        <v>1510</v>
      </c>
      <c r="C15" s="144">
        <v>4.7522369345742899</v>
      </c>
      <c r="D15" s="34">
        <v>158</v>
      </c>
      <c r="E15" s="144">
        <v>0.49725393090247499</v>
      </c>
      <c r="F15" s="245">
        <v>1668</v>
      </c>
      <c r="G15" s="246">
        <v>5.2494908654767602</v>
      </c>
    </row>
    <row r="16" spans="1:11" ht="11.25" customHeight="1" x14ac:dyDescent="0.3">
      <c r="A16" s="36" t="s">
        <v>10</v>
      </c>
      <c r="B16" s="34">
        <v>484</v>
      </c>
      <c r="C16" s="144">
        <v>6.54252097932347</v>
      </c>
      <c r="D16" s="34">
        <v>1</v>
      </c>
      <c r="E16" s="144"/>
      <c r="F16" s="245">
        <v>485</v>
      </c>
      <c r="G16" s="246">
        <v>6.5560385846526499</v>
      </c>
    </row>
    <row r="17" spans="1:17" ht="11.25" customHeight="1" x14ac:dyDescent="0.3">
      <c r="A17" s="36" t="s">
        <v>11</v>
      </c>
      <c r="B17" s="34">
        <v>295</v>
      </c>
      <c r="C17" s="144">
        <v>2.3000622186322199</v>
      </c>
      <c r="D17" s="34">
        <v>41</v>
      </c>
      <c r="E17" s="144">
        <v>0.31966966428447802</v>
      </c>
      <c r="F17" s="245">
        <v>336</v>
      </c>
      <c r="G17" s="246">
        <v>2.6197318829167</v>
      </c>
    </row>
    <row r="18" spans="1:17" ht="11.25" customHeight="1" x14ac:dyDescent="0.3">
      <c r="A18" s="36" t="s">
        <v>12</v>
      </c>
      <c r="B18" s="34">
        <v>2414</v>
      </c>
      <c r="C18" s="144">
        <v>4.9245356727937803</v>
      </c>
      <c r="D18" s="34">
        <v>0</v>
      </c>
      <c r="E18" s="144">
        <v>0</v>
      </c>
      <c r="F18" s="245">
        <v>2414</v>
      </c>
      <c r="G18" s="246">
        <v>4.9245356727937803</v>
      </c>
    </row>
    <row r="19" spans="1:17" ht="11.25" customHeight="1" x14ac:dyDescent="0.3">
      <c r="A19" s="36" t="s">
        <v>13</v>
      </c>
      <c r="B19" s="34"/>
      <c r="C19" s="144"/>
      <c r="D19" s="34"/>
      <c r="E19" s="144"/>
      <c r="F19" s="245"/>
      <c r="G19" s="246"/>
    </row>
    <row r="20" spans="1:17" ht="11.25" customHeight="1" x14ac:dyDescent="0.3">
      <c r="A20" s="36" t="s">
        <v>14</v>
      </c>
      <c r="B20" s="34">
        <v>1</v>
      </c>
      <c r="C20" s="144">
        <v>3.9435908761081502E-2</v>
      </c>
      <c r="D20" s="34"/>
      <c r="E20" s="144"/>
      <c r="F20" s="245">
        <v>1</v>
      </c>
      <c r="G20" s="246">
        <v>3.9435908761081502E-2</v>
      </c>
    </row>
    <row r="21" spans="1:17" ht="11.25" customHeight="1" x14ac:dyDescent="0.3">
      <c r="A21" s="36" t="s">
        <v>15</v>
      </c>
      <c r="B21" s="34">
        <v>878</v>
      </c>
      <c r="C21" s="144">
        <v>2.2269489227197998</v>
      </c>
      <c r="D21" s="34">
        <v>0</v>
      </c>
      <c r="E21" s="144">
        <v>0</v>
      </c>
      <c r="F21" s="245">
        <v>878</v>
      </c>
      <c r="G21" s="246">
        <v>2.2269489227197998</v>
      </c>
    </row>
    <row r="22" spans="1:17" ht="11.25" customHeight="1" x14ac:dyDescent="0.3">
      <c r="A22" s="36" t="s">
        <v>16</v>
      </c>
      <c r="B22" s="34">
        <v>1166</v>
      </c>
      <c r="C22" s="144">
        <v>3.4866544264961798</v>
      </c>
      <c r="D22" s="34">
        <v>0</v>
      </c>
      <c r="E22" s="144">
        <v>0</v>
      </c>
      <c r="F22" s="245">
        <v>1166</v>
      </c>
      <c r="G22" s="246">
        <v>3.4866544264961798</v>
      </c>
    </row>
    <row r="23" spans="1:17" ht="11.25" customHeight="1" x14ac:dyDescent="0.3">
      <c r="A23" s="36" t="s">
        <v>17</v>
      </c>
      <c r="B23" s="34">
        <v>262</v>
      </c>
      <c r="C23" s="144">
        <v>5.6407650772052804</v>
      </c>
      <c r="D23" s="34"/>
      <c r="E23" s="144"/>
      <c r="F23" s="245">
        <v>262</v>
      </c>
      <c r="G23" s="246">
        <v>5.6407650772052804</v>
      </c>
    </row>
    <row r="24" spans="1:17" ht="11.25" customHeight="1" x14ac:dyDescent="0.3">
      <c r="A24" s="36" t="s">
        <v>18</v>
      </c>
      <c r="B24" s="34">
        <v>8</v>
      </c>
      <c r="C24" s="144">
        <v>5.0961516410882299E-2</v>
      </c>
      <c r="D24" s="34"/>
      <c r="E24" s="144"/>
      <c r="F24" s="245">
        <v>8</v>
      </c>
      <c r="G24" s="246">
        <v>5.0961516410882299E-2</v>
      </c>
    </row>
    <row r="25" spans="1:17" ht="11.25" customHeight="1" x14ac:dyDescent="0.3">
      <c r="A25" s="36" t="s">
        <v>19</v>
      </c>
      <c r="B25" s="34">
        <v>722</v>
      </c>
      <c r="C25" s="144">
        <v>1.77344247782828</v>
      </c>
      <c r="D25" s="34">
        <v>0</v>
      </c>
      <c r="E25" s="144">
        <v>0</v>
      </c>
      <c r="F25" s="245">
        <v>722</v>
      </c>
      <c r="G25" s="246">
        <v>1.77344247782828</v>
      </c>
    </row>
    <row r="26" spans="1:17" ht="11.25" customHeight="1" x14ac:dyDescent="0.3">
      <c r="A26" s="36" t="s">
        <v>20</v>
      </c>
      <c r="B26" s="38">
        <v>0</v>
      </c>
      <c r="C26" s="167">
        <v>0</v>
      </c>
      <c r="D26" s="38">
        <v>0</v>
      </c>
      <c r="E26" s="167">
        <v>0</v>
      </c>
      <c r="F26" s="247">
        <v>0</v>
      </c>
      <c r="G26" s="145">
        <v>0</v>
      </c>
    </row>
    <row r="27" spans="1:17" ht="11.25" customHeight="1" thickBot="1" x14ac:dyDescent="0.35">
      <c r="A27" s="37" t="s">
        <v>1</v>
      </c>
      <c r="B27" s="35">
        <v>22099</v>
      </c>
      <c r="C27" s="169">
        <v>4.4930651788648204</v>
      </c>
      <c r="D27" s="35">
        <v>226</v>
      </c>
      <c r="E27" s="169">
        <v>4.5949261524206898E-2</v>
      </c>
      <c r="F27" s="35">
        <v>22325</v>
      </c>
      <c r="G27" s="248">
        <v>4.53901444038903</v>
      </c>
    </row>
    <row r="28" spans="1:17" ht="11.25" customHeight="1" x14ac:dyDescent="0.3"/>
    <row r="29" spans="1:17" ht="11.25" customHeight="1" x14ac:dyDescent="0.3"/>
    <row r="30" spans="1:17" s="88" customFormat="1" ht="29.25" customHeight="1" x14ac:dyDescent="0.3">
      <c r="A30" s="478" t="s">
        <v>249</v>
      </c>
      <c r="B30" s="479"/>
      <c r="C30" s="479"/>
      <c r="D30" s="479"/>
      <c r="E30" s="479"/>
      <c r="F30" s="479"/>
      <c r="G30" s="479"/>
      <c r="H30" s="479"/>
      <c r="I30" s="479"/>
      <c r="J30" s="479"/>
      <c r="K30" s="479"/>
    </row>
    <row r="31" spans="1:17" ht="11.25" customHeight="1" thickBot="1" x14ac:dyDescent="0.35"/>
    <row r="32" spans="1:17" ht="11.25" customHeight="1" x14ac:dyDescent="0.3">
      <c r="A32" s="642" t="s">
        <v>2</v>
      </c>
      <c r="B32" s="619" t="s">
        <v>63</v>
      </c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20"/>
      <c r="P32" s="458"/>
      <c r="Q32" s="459"/>
    </row>
    <row r="33" spans="1:15" ht="95.5" customHeight="1" x14ac:dyDescent="0.3">
      <c r="A33" s="616"/>
      <c r="B33" s="633" t="s">
        <v>65</v>
      </c>
      <c r="C33" s="633"/>
      <c r="D33" s="633" t="s">
        <v>55</v>
      </c>
      <c r="E33" s="633"/>
      <c r="F33" s="633" t="s">
        <v>64</v>
      </c>
      <c r="G33" s="633"/>
      <c r="H33" s="633" t="s">
        <v>58</v>
      </c>
      <c r="I33" s="633"/>
      <c r="J33" s="633" t="s">
        <v>59</v>
      </c>
      <c r="K33" s="633"/>
      <c r="L33" s="633" t="s">
        <v>60</v>
      </c>
      <c r="M33" s="633"/>
      <c r="N33" s="633" t="s">
        <v>0</v>
      </c>
      <c r="O33" s="634"/>
    </row>
    <row r="34" spans="1:15" ht="38.25" customHeight="1" x14ac:dyDescent="0.3">
      <c r="A34" s="616"/>
      <c r="B34" s="445" t="s">
        <v>53</v>
      </c>
      <c r="C34" s="445" t="s">
        <v>54</v>
      </c>
      <c r="D34" s="445" t="s">
        <v>53</v>
      </c>
      <c r="E34" s="445" t="s">
        <v>54</v>
      </c>
      <c r="F34" s="445" t="s">
        <v>53</v>
      </c>
      <c r="G34" s="445" t="s">
        <v>54</v>
      </c>
      <c r="H34" s="445" t="s">
        <v>53</v>
      </c>
      <c r="I34" s="445" t="s">
        <v>54</v>
      </c>
      <c r="J34" s="445" t="s">
        <v>53</v>
      </c>
      <c r="K34" s="445" t="s">
        <v>54</v>
      </c>
      <c r="L34" s="445" t="s">
        <v>53</v>
      </c>
      <c r="M34" s="445" t="s">
        <v>54</v>
      </c>
      <c r="N34" s="445" t="s">
        <v>53</v>
      </c>
      <c r="O34" s="446" t="s">
        <v>54</v>
      </c>
    </row>
    <row r="35" spans="1:15" ht="13.5" customHeight="1" x14ac:dyDescent="0.3">
      <c r="A35" s="460" t="s">
        <v>3</v>
      </c>
      <c r="B35" s="461">
        <v>2062</v>
      </c>
      <c r="C35" s="462">
        <v>5.5952071162785497</v>
      </c>
      <c r="D35" s="461">
        <v>0</v>
      </c>
      <c r="E35" s="462">
        <v>0</v>
      </c>
      <c r="F35" s="461">
        <v>10</v>
      </c>
      <c r="G35" s="462">
        <v>2.7134855074095798E-2</v>
      </c>
      <c r="H35" s="463">
        <v>0</v>
      </c>
      <c r="I35" s="462">
        <v>0</v>
      </c>
      <c r="J35" s="464">
        <v>0</v>
      </c>
      <c r="K35" s="465">
        <v>0</v>
      </c>
      <c r="L35" s="466">
        <v>0</v>
      </c>
      <c r="M35" s="462">
        <v>0</v>
      </c>
      <c r="N35" s="467">
        <v>2072</v>
      </c>
      <c r="O35" s="468">
        <v>5.6223419713526503</v>
      </c>
    </row>
    <row r="36" spans="1:15" ht="13.5" customHeight="1" x14ac:dyDescent="0.3">
      <c r="A36" s="460" t="s">
        <v>4</v>
      </c>
      <c r="B36" s="461">
        <v>56</v>
      </c>
      <c r="C36" s="462">
        <v>5.2868593223379197</v>
      </c>
      <c r="D36" s="461"/>
      <c r="E36" s="462"/>
      <c r="F36" s="461"/>
      <c r="G36" s="462"/>
      <c r="H36" s="463"/>
      <c r="I36" s="462"/>
      <c r="J36" s="464">
        <v>0</v>
      </c>
      <c r="K36" s="465">
        <v>0</v>
      </c>
      <c r="L36" s="466">
        <v>0</v>
      </c>
      <c r="M36" s="462">
        <v>0</v>
      </c>
      <c r="N36" s="467">
        <v>56</v>
      </c>
      <c r="O36" s="468">
        <v>5.2868593223379197</v>
      </c>
    </row>
    <row r="37" spans="1:15" ht="13.5" customHeight="1" x14ac:dyDescent="0.3">
      <c r="A37" s="460" t="s">
        <v>5</v>
      </c>
      <c r="B37" s="461">
        <v>5402</v>
      </c>
      <c r="C37" s="462">
        <v>6.3115926501375101</v>
      </c>
      <c r="D37" s="461">
        <v>115</v>
      </c>
      <c r="E37" s="462">
        <v>0.13436378281484901</v>
      </c>
      <c r="F37" s="461"/>
      <c r="G37" s="462"/>
      <c r="H37" s="463">
        <v>0</v>
      </c>
      <c r="I37" s="462">
        <v>0</v>
      </c>
      <c r="J37" s="464">
        <v>2</v>
      </c>
      <c r="K37" s="465">
        <v>2.3367614402582402E-3</v>
      </c>
      <c r="L37" s="466">
        <v>86</v>
      </c>
      <c r="M37" s="462">
        <v>0.100480741931104</v>
      </c>
      <c r="N37" s="467">
        <v>5605</v>
      </c>
      <c r="O37" s="468">
        <v>6.5487739363237196</v>
      </c>
    </row>
    <row r="38" spans="1:15" ht="13.5" customHeight="1" x14ac:dyDescent="0.3">
      <c r="A38" s="460" t="s">
        <v>23</v>
      </c>
      <c r="B38" s="461">
        <v>194</v>
      </c>
      <c r="C38" s="462">
        <v>4.3649061545176799</v>
      </c>
      <c r="D38" s="461"/>
      <c r="E38" s="462"/>
      <c r="F38" s="461"/>
      <c r="G38" s="462"/>
      <c r="H38" s="463"/>
      <c r="I38" s="462"/>
      <c r="J38" s="464"/>
      <c r="K38" s="465"/>
      <c r="L38" s="466">
        <v>0</v>
      </c>
      <c r="M38" s="462">
        <v>0</v>
      </c>
      <c r="N38" s="467">
        <v>194</v>
      </c>
      <c r="O38" s="468">
        <v>4.3649061545176799</v>
      </c>
    </row>
    <row r="39" spans="1:15" ht="13.5" customHeight="1" x14ac:dyDescent="0.3">
      <c r="A39" s="460" t="s">
        <v>24</v>
      </c>
      <c r="B39" s="461">
        <v>304</v>
      </c>
      <c r="C39" s="462">
        <v>6.5779224151361504</v>
      </c>
      <c r="D39" s="461"/>
      <c r="E39" s="462"/>
      <c r="F39" s="461"/>
      <c r="G39" s="462"/>
      <c r="H39" s="463">
        <v>0</v>
      </c>
      <c r="I39" s="462">
        <v>0</v>
      </c>
      <c r="J39" s="464">
        <v>0</v>
      </c>
      <c r="K39" s="465">
        <v>0</v>
      </c>
      <c r="L39" s="466"/>
      <c r="M39" s="462"/>
      <c r="N39" s="467">
        <v>304</v>
      </c>
      <c r="O39" s="468">
        <v>6.5779224151361504</v>
      </c>
    </row>
    <row r="40" spans="1:15" ht="13.5" customHeight="1" x14ac:dyDescent="0.3">
      <c r="A40" s="460" t="s">
        <v>6</v>
      </c>
      <c r="B40" s="461">
        <v>1897</v>
      </c>
      <c r="C40" s="462">
        <v>4.5474027785901496</v>
      </c>
      <c r="D40" s="461">
        <v>1050</v>
      </c>
      <c r="E40" s="462">
        <v>2.51701260807573</v>
      </c>
      <c r="F40" s="461">
        <v>911</v>
      </c>
      <c r="G40" s="462">
        <v>2.1838080818638002</v>
      </c>
      <c r="H40" s="463">
        <v>62</v>
      </c>
      <c r="I40" s="462">
        <v>0.14862360161971</v>
      </c>
      <c r="J40" s="464">
        <v>0</v>
      </c>
      <c r="K40" s="465">
        <v>0</v>
      </c>
      <c r="L40" s="466">
        <v>0</v>
      </c>
      <c r="M40" s="462">
        <v>0</v>
      </c>
      <c r="N40" s="467">
        <v>3920</v>
      </c>
      <c r="O40" s="468">
        <v>9.3968470701493807</v>
      </c>
    </row>
    <row r="41" spans="1:15" ht="20" x14ac:dyDescent="0.3">
      <c r="A41" s="460" t="s">
        <v>22</v>
      </c>
      <c r="B41" s="461">
        <v>332</v>
      </c>
      <c r="C41" s="462">
        <v>3.8365934747865298</v>
      </c>
      <c r="D41" s="461"/>
      <c r="E41" s="462"/>
      <c r="F41" s="461">
        <v>593</v>
      </c>
      <c r="G41" s="462">
        <v>6.8527106341819701</v>
      </c>
      <c r="H41" s="463"/>
      <c r="I41" s="462"/>
      <c r="J41" s="464"/>
      <c r="K41" s="465"/>
      <c r="L41" s="466">
        <v>0</v>
      </c>
      <c r="M41" s="462">
        <v>0</v>
      </c>
      <c r="N41" s="467">
        <v>925</v>
      </c>
      <c r="O41" s="468">
        <v>10.6893041089685</v>
      </c>
    </row>
    <row r="42" spans="1:15" ht="13.5" customHeight="1" x14ac:dyDescent="0.3">
      <c r="A42" s="460" t="s">
        <v>7</v>
      </c>
      <c r="B42" s="461">
        <v>496</v>
      </c>
      <c r="C42" s="462">
        <v>5.9640545470505</v>
      </c>
      <c r="D42" s="461"/>
      <c r="E42" s="462"/>
      <c r="F42" s="461"/>
      <c r="G42" s="462"/>
      <c r="H42" s="463">
        <v>0</v>
      </c>
      <c r="I42" s="462">
        <v>0</v>
      </c>
      <c r="J42" s="464">
        <v>0</v>
      </c>
      <c r="K42" s="465">
        <v>0</v>
      </c>
      <c r="L42" s="466">
        <v>0</v>
      </c>
      <c r="M42" s="462">
        <v>0</v>
      </c>
      <c r="N42" s="467">
        <v>496</v>
      </c>
      <c r="O42" s="468">
        <v>5.9640545470505</v>
      </c>
    </row>
    <row r="43" spans="1:15" ht="13.5" customHeight="1" x14ac:dyDescent="0.3">
      <c r="A43" s="460" t="s">
        <v>8</v>
      </c>
      <c r="B43" s="461">
        <v>710</v>
      </c>
      <c r="C43" s="462">
        <v>1.85455144799981</v>
      </c>
      <c r="D43" s="461"/>
      <c r="E43" s="462"/>
      <c r="F43" s="461">
        <v>103</v>
      </c>
      <c r="G43" s="462">
        <v>0.26904056217462102</v>
      </c>
      <c r="H43" s="463"/>
      <c r="I43" s="462"/>
      <c r="J43" s="464"/>
      <c r="K43" s="465"/>
      <c r="L43" s="466">
        <v>0</v>
      </c>
      <c r="M43" s="462">
        <v>0</v>
      </c>
      <c r="N43" s="467">
        <v>813</v>
      </c>
      <c r="O43" s="468">
        <v>2.1235920101744301</v>
      </c>
    </row>
    <row r="44" spans="1:15" ht="13.5" customHeight="1" x14ac:dyDescent="0.3">
      <c r="A44" s="460" t="s">
        <v>9</v>
      </c>
      <c r="B44" s="461">
        <v>1574</v>
      </c>
      <c r="C44" s="462">
        <v>4.9536562483575697</v>
      </c>
      <c r="D44" s="461">
        <v>17</v>
      </c>
      <c r="E44" s="462">
        <v>5.3502005223684E-2</v>
      </c>
      <c r="F44" s="461"/>
      <c r="G44" s="462"/>
      <c r="H44" s="463">
        <v>0</v>
      </c>
      <c r="I44" s="462">
        <v>0</v>
      </c>
      <c r="J44" s="464">
        <v>77</v>
      </c>
      <c r="K44" s="465">
        <v>0.24233261189551</v>
      </c>
      <c r="L44" s="466">
        <v>0</v>
      </c>
      <c r="M44" s="462">
        <v>0</v>
      </c>
      <c r="N44" s="467">
        <v>1668</v>
      </c>
      <c r="O44" s="468">
        <v>5.2494908654767602</v>
      </c>
    </row>
    <row r="45" spans="1:15" ht="13.5" customHeight="1" x14ac:dyDescent="0.3">
      <c r="A45" s="460" t="s">
        <v>10</v>
      </c>
      <c r="B45" s="461">
        <v>485</v>
      </c>
      <c r="C45" s="462">
        <v>6.5560385846526499</v>
      </c>
      <c r="D45" s="461"/>
      <c r="E45" s="462"/>
      <c r="F45" s="461"/>
      <c r="G45" s="462"/>
      <c r="H45" s="463">
        <v>0</v>
      </c>
      <c r="I45" s="462">
        <v>0</v>
      </c>
      <c r="J45" s="464">
        <v>0</v>
      </c>
      <c r="K45" s="465">
        <v>0</v>
      </c>
      <c r="L45" s="466">
        <v>0</v>
      </c>
      <c r="M45" s="462">
        <v>0</v>
      </c>
      <c r="N45" s="467">
        <v>485</v>
      </c>
      <c r="O45" s="468">
        <v>6.5560385846526499</v>
      </c>
    </row>
    <row r="46" spans="1:15" ht="13.5" customHeight="1" x14ac:dyDescent="0.3">
      <c r="A46" s="460" t="s">
        <v>11</v>
      </c>
      <c r="B46" s="461">
        <v>40</v>
      </c>
      <c r="C46" s="462">
        <v>0.31187284320436898</v>
      </c>
      <c r="D46" s="461"/>
      <c r="E46" s="462"/>
      <c r="F46" s="461"/>
      <c r="G46" s="462"/>
      <c r="H46" s="463">
        <v>0</v>
      </c>
      <c r="I46" s="462">
        <v>0</v>
      </c>
      <c r="J46" s="464">
        <v>296</v>
      </c>
      <c r="K46" s="465">
        <v>2.30785903971233</v>
      </c>
      <c r="L46" s="466">
        <v>0</v>
      </c>
      <c r="M46" s="462">
        <v>0</v>
      </c>
      <c r="N46" s="467">
        <v>336</v>
      </c>
      <c r="O46" s="468">
        <v>2.6197318829167</v>
      </c>
    </row>
    <row r="47" spans="1:15" ht="13.5" customHeight="1" x14ac:dyDescent="0.3">
      <c r="A47" s="460" t="s">
        <v>12</v>
      </c>
      <c r="B47" s="461">
        <v>2414</v>
      </c>
      <c r="C47" s="462">
        <v>4.9245356727937803</v>
      </c>
      <c r="D47" s="461"/>
      <c r="E47" s="462"/>
      <c r="F47" s="461"/>
      <c r="G47" s="462"/>
      <c r="H47" s="463">
        <v>0</v>
      </c>
      <c r="I47" s="462">
        <v>0</v>
      </c>
      <c r="J47" s="464">
        <v>0</v>
      </c>
      <c r="K47" s="465">
        <v>0</v>
      </c>
      <c r="L47" s="466">
        <v>0</v>
      </c>
      <c r="M47" s="462">
        <v>0</v>
      </c>
      <c r="N47" s="467">
        <v>2414</v>
      </c>
      <c r="O47" s="468">
        <v>4.9245356727937803</v>
      </c>
    </row>
    <row r="48" spans="1:15" ht="13.5" customHeight="1" x14ac:dyDescent="0.3">
      <c r="A48" s="460" t="s">
        <v>13</v>
      </c>
      <c r="B48" s="461"/>
      <c r="C48" s="462"/>
      <c r="D48" s="461"/>
      <c r="E48" s="462"/>
      <c r="F48" s="461"/>
      <c r="G48" s="462"/>
      <c r="H48" s="463"/>
      <c r="I48" s="462"/>
      <c r="J48" s="464"/>
      <c r="K48" s="465"/>
      <c r="L48" s="466"/>
      <c r="M48" s="462"/>
      <c r="N48" s="467"/>
      <c r="O48" s="468"/>
    </row>
    <row r="49" spans="1:25" ht="13.5" customHeight="1" x14ac:dyDescent="0.3">
      <c r="A49" s="460" t="s">
        <v>14</v>
      </c>
      <c r="B49" s="461"/>
      <c r="C49" s="462"/>
      <c r="D49" s="461">
        <v>1</v>
      </c>
      <c r="E49" s="462">
        <v>3.9435908761081502E-2</v>
      </c>
      <c r="F49" s="461"/>
      <c r="G49" s="462"/>
      <c r="H49" s="463"/>
      <c r="I49" s="462"/>
      <c r="J49" s="464"/>
      <c r="K49" s="465"/>
      <c r="L49" s="466">
        <v>0</v>
      </c>
      <c r="M49" s="462">
        <v>0</v>
      </c>
      <c r="N49" s="467">
        <v>1</v>
      </c>
      <c r="O49" s="468">
        <v>3.9435908761081502E-2</v>
      </c>
    </row>
    <row r="50" spans="1:25" ht="13.5" customHeight="1" x14ac:dyDescent="0.3">
      <c r="A50" s="460" t="s">
        <v>15</v>
      </c>
      <c r="B50" s="461">
        <v>657</v>
      </c>
      <c r="C50" s="462">
        <v>1.6664071095978501</v>
      </c>
      <c r="D50" s="461">
        <v>0</v>
      </c>
      <c r="E50" s="462">
        <v>0</v>
      </c>
      <c r="F50" s="461">
        <v>221</v>
      </c>
      <c r="G50" s="462">
        <v>0.56054181312195395</v>
      </c>
      <c r="H50" s="463">
        <v>0</v>
      </c>
      <c r="I50" s="462">
        <v>0</v>
      </c>
      <c r="J50" s="464">
        <v>0</v>
      </c>
      <c r="K50" s="465">
        <v>0</v>
      </c>
      <c r="L50" s="466">
        <v>0</v>
      </c>
      <c r="M50" s="462">
        <v>0</v>
      </c>
      <c r="N50" s="467">
        <v>878</v>
      </c>
      <c r="O50" s="468">
        <v>2.2269489227197998</v>
      </c>
    </row>
    <row r="51" spans="1:25" ht="13.5" customHeight="1" x14ac:dyDescent="0.3">
      <c r="A51" s="460" t="s">
        <v>16</v>
      </c>
      <c r="B51" s="461">
        <v>1166</v>
      </c>
      <c r="C51" s="462">
        <v>3.4866544264961798</v>
      </c>
      <c r="D51" s="461"/>
      <c r="E51" s="462"/>
      <c r="F51" s="461"/>
      <c r="G51" s="462"/>
      <c r="H51" s="463"/>
      <c r="I51" s="462"/>
      <c r="J51" s="464"/>
      <c r="K51" s="465"/>
      <c r="L51" s="466">
        <v>0</v>
      </c>
      <c r="M51" s="462">
        <v>0</v>
      </c>
      <c r="N51" s="467">
        <v>1166</v>
      </c>
      <c r="O51" s="468">
        <v>3.4866544264961798</v>
      </c>
    </row>
    <row r="52" spans="1:25" ht="13.5" customHeight="1" x14ac:dyDescent="0.3">
      <c r="A52" s="460" t="s">
        <v>17</v>
      </c>
      <c r="B52" s="461">
        <v>32</v>
      </c>
      <c r="C52" s="462">
        <v>0.68894840637621702</v>
      </c>
      <c r="D52" s="461"/>
      <c r="E52" s="462"/>
      <c r="F52" s="461">
        <v>230</v>
      </c>
      <c r="G52" s="462">
        <v>4.9518166708290599</v>
      </c>
      <c r="H52" s="463"/>
      <c r="I52" s="462"/>
      <c r="J52" s="464"/>
      <c r="K52" s="465"/>
      <c r="L52" s="466">
        <v>0</v>
      </c>
      <c r="M52" s="462">
        <v>0</v>
      </c>
      <c r="N52" s="467">
        <v>262</v>
      </c>
      <c r="O52" s="468">
        <v>5.6407650772052804</v>
      </c>
    </row>
    <row r="53" spans="1:25" ht="13.5" customHeight="1" x14ac:dyDescent="0.3">
      <c r="A53" s="460" t="s">
        <v>18</v>
      </c>
      <c r="B53" s="461">
        <v>8</v>
      </c>
      <c r="C53" s="462">
        <v>5.0961516410882299E-2</v>
      </c>
      <c r="D53" s="461"/>
      <c r="E53" s="462"/>
      <c r="F53" s="461"/>
      <c r="G53" s="462"/>
      <c r="H53" s="463"/>
      <c r="I53" s="462"/>
      <c r="J53" s="464">
        <v>0</v>
      </c>
      <c r="K53" s="465">
        <v>0</v>
      </c>
      <c r="L53" s="466">
        <v>0</v>
      </c>
      <c r="M53" s="462">
        <v>0</v>
      </c>
      <c r="N53" s="467">
        <v>8</v>
      </c>
      <c r="O53" s="468">
        <v>5.0961516410882299E-2</v>
      </c>
    </row>
    <row r="54" spans="1:25" ht="13.5" customHeight="1" x14ac:dyDescent="0.3">
      <c r="A54" s="460" t="s">
        <v>19</v>
      </c>
      <c r="B54" s="461">
        <v>722</v>
      </c>
      <c r="C54" s="462">
        <v>1.77344247782828</v>
      </c>
      <c r="D54" s="461"/>
      <c r="E54" s="462"/>
      <c r="F54" s="461"/>
      <c r="G54" s="462"/>
      <c r="H54" s="463"/>
      <c r="I54" s="462"/>
      <c r="J54" s="464"/>
      <c r="K54" s="465"/>
      <c r="L54" s="466">
        <v>0</v>
      </c>
      <c r="M54" s="462">
        <v>0</v>
      </c>
      <c r="N54" s="467">
        <v>722</v>
      </c>
      <c r="O54" s="468">
        <v>1.77344247782828</v>
      </c>
    </row>
    <row r="55" spans="1:25" ht="13.5" customHeight="1" x14ac:dyDescent="0.3">
      <c r="A55" s="460" t="s">
        <v>20</v>
      </c>
      <c r="B55" s="461"/>
      <c r="C55" s="462"/>
      <c r="D55" s="461"/>
      <c r="E55" s="462"/>
      <c r="F55" s="461"/>
      <c r="G55" s="462"/>
      <c r="H55" s="463"/>
      <c r="I55" s="462"/>
      <c r="J55" s="464"/>
      <c r="K55" s="465"/>
      <c r="L55" s="466"/>
      <c r="M55" s="462"/>
      <c r="N55" s="467">
        <v>0</v>
      </c>
      <c r="O55" s="468">
        <v>0</v>
      </c>
    </row>
    <row r="56" spans="1:25" ht="13.5" customHeight="1" thickBot="1" x14ac:dyDescent="0.35">
      <c r="A56" s="469" t="s">
        <v>1</v>
      </c>
      <c r="B56" s="470">
        <v>18551</v>
      </c>
      <c r="C56" s="471">
        <v>3.77170243599807</v>
      </c>
      <c r="D56" s="470">
        <v>1183</v>
      </c>
      <c r="E56" s="471">
        <v>0.24052201939441101</v>
      </c>
      <c r="F56" s="470">
        <v>2068</v>
      </c>
      <c r="G56" s="471">
        <v>0.42045607447814098</v>
      </c>
      <c r="H56" s="472">
        <v>62</v>
      </c>
      <c r="I56" s="471">
        <v>1.26055496216851E-2</v>
      </c>
      <c r="J56" s="473">
        <v>375</v>
      </c>
      <c r="K56" s="474">
        <v>7.6243243679546893E-2</v>
      </c>
      <c r="L56" s="475">
        <v>86</v>
      </c>
      <c r="M56" s="471">
        <v>1.7485117217176101E-2</v>
      </c>
      <c r="N56" s="476">
        <v>22325</v>
      </c>
      <c r="O56" s="477">
        <v>4.53901444038903</v>
      </c>
    </row>
    <row r="57" spans="1:25" x14ac:dyDescent="0.3">
      <c r="F57" s="43"/>
    </row>
    <row r="58" spans="1:25" x14ac:dyDescent="0.3">
      <c r="F58" s="43"/>
    </row>
    <row r="59" spans="1:25" s="88" customFormat="1" ht="45" customHeight="1" x14ac:dyDescent="0.3">
      <c r="A59" s="478" t="s">
        <v>250</v>
      </c>
      <c r="B59" s="479"/>
      <c r="C59" s="479"/>
      <c r="D59" s="479"/>
      <c r="E59" s="479"/>
      <c r="F59" s="479"/>
      <c r="G59" s="479"/>
      <c r="H59" s="479"/>
      <c r="I59" s="479"/>
      <c r="J59" s="479"/>
      <c r="K59" s="479"/>
    </row>
    <row r="60" spans="1:25" ht="11.25" customHeight="1" thickBot="1" x14ac:dyDescent="0.35"/>
    <row r="61" spans="1:25" ht="11.25" customHeight="1" x14ac:dyDescent="0.3">
      <c r="A61" s="583" t="s">
        <v>69</v>
      </c>
      <c r="B61" s="607" t="s">
        <v>78</v>
      </c>
      <c r="C61" s="608"/>
      <c r="D61" s="608"/>
      <c r="E61" s="608"/>
      <c r="F61" s="608"/>
      <c r="G61" s="608"/>
      <c r="H61" s="608"/>
      <c r="I61" s="608"/>
      <c r="J61" s="608"/>
      <c r="K61" s="608"/>
      <c r="L61" s="608"/>
      <c r="M61" s="608"/>
      <c r="N61" s="608"/>
      <c r="O61" s="608"/>
      <c r="P61" s="608"/>
      <c r="Q61" s="608"/>
      <c r="R61" s="608"/>
      <c r="S61" s="608"/>
      <c r="T61" s="608"/>
      <c r="U61" s="608"/>
      <c r="V61" s="608"/>
      <c r="W61" s="608"/>
      <c r="X61" s="608"/>
      <c r="Y61" s="608"/>
    </row>
    <row r="62" spans="1:25" ht="11.25" customHeight="1" x14ac:dyDescent="0.3">
      <c r="A62" s="584"/>
      <c r="B62" s="606" t="s">
        <v>25</v>
      </c>
      <c r="C62" s="574"/>
      <c r="D62" s="574"/>
      <c r="E62" s="574"/>
      <c r="F62" s="574"/>
      <c r="G62" s="574"/>
      <c r="H62" s="574"/>
      <c r="I62" s="605" t="s">
        <v>46</v>
      </c>
      <c r="J62" s="606" t="s">
        <v>26</v>
      </c>
      <c r="K62" s="574"/>
      <c r="L62" s="574"/>
      <c r="M62" s="574"/>
      <c r="N62" s="574"/>
      <c r="O62" s="574"/>
      <c r="P62" s="574"/>
      <c r="Q62" s="605" t="s">
        <v>47</v>
      </c>
      <c r="R62" s="606" t="s">
        <v>21</v>
      </c>
      <c r="S62" s="574"/>
      <c r="T62" s="574"/>
      <c r="U62" s="574"/>
      <c r="V62" s="574"/>
      <c r="W62" s="574"/>
      <c r="X62" s="574"/>
      <c r="Y62" s="605" t="s">
        <v>183</v>
      </c>
    </row>
    <row r="63" spans="1:25" ht="11.25" customHeight="1" x14ac:dyDescent="0.3">
      <c r="A63" s="584"/>
      <c r="B63" s="606" t="s">
        <v>48</v>
      </c>
      <c r="C63" s="574"/>
      <c r="D63" s="574"/>
      <c r="E63" s="574"/>
      <c r="F63" s="574"/>
      <c r="G63" s="574"/>
      <c r="H63" s="574"/>
      <c r="I63" s="605"/>
      <c r="J63" s="606" t="s">
        <v>48</v>
      </c>
      <c r="K63" s="574"/>
      <c r="L63" s="574"/>
      <c r="M63" s="574"/>
      <c r="N63" s="574"/>
      <c r="O63" s="574"/>
      <c r="P63" s="574"/>
      <c r="Q63" s="605"/>
      <c r="R63" s="606" t="s">
        <v>48</v>
      </c>
      <c r="S63" s="574"/>
      <c r="T63" s="574"/>
      <c r="U63" s="574"/>
      <c r="V63" s="574"/>
      <c r="W63" s="574"/>
      <c r="X63" s="574"/>
      <c r="Y63" s="605"/>
    </row>
    <row r="64" spans="1:25" ht="11.25" customHeight="1" x14ac:dyDescent="0.3">
      <c r="A64" s="585"/>
      <c r="B64" s="180" t="s">
        <v>28</v>
      </c>
      <c r="C64" s="181" t="s">
        <v>29</v>
      </c>
      <c r="D64" s="181" t="s">
        <v>30</v>
      </c>
      <c r="E64" s="181" t="s">
        <v>31</v>
      </c>
      <c r="F64" s="181" t="s">
        <v>32</v>
      </c>
      <c r="G64" s="184" t="s">
        <v>74</v>
      </c>
      <c r="H64" s="184" t="s">
        <v>75</v>
      </c>
      <c r="I64" s="605"/>
      <c r="J64" s="180" t="s">
        <v>28</v>
      </c>
      <c r="K64" s="181" t="s">
        <v>29</v>
      </c>
      <c r="L64" s="181" t="s">
        <v>30</v>
      </c>
      <c r="M64" s="181" t="s">
        <v>31</v>
      </c>
      <c r="N64" s="181" t="s">
        <v>32</v>
      </c>
      <c r="O64" s="184" t="s">
        <v>74</v>
      </c>
      <c r="P64" s="184" t="s">
        <v>75</v>
      </c>
      <c r="Q64" s="605"/>
      <c r="R64" s="180" t="s">
        <v>28</v>
      </c>
      <c r="S64" s="181" t="s">
        <v>29</v>
      </c>
      <c r="T64" s="181" t="s">
        <v>30</v>
      </c>
      <c r="U64" s="181" t="s">
        <v>31</v>
      </c>
      <c r="V64" s="181" t="s">
        <v>32</v>
      </c>
      <c r="W64" s="184" t="s">
        <v>74</v>
      </c>
      <c r="X64" s="184" t="s">
        <v>75</v>
      </c>
      <c r="Y64" s="605"/>
    </row>
    <row r="65" spans="1:25" ht="11.25" customHeight="1" x14ac:dyDescent="0.3">
      <c r="A65" s="71" t="s">
        <v>36</v>
      </c>
      <c r="B65" s="250">
        <v>0.100785454643186</v>
      </c>
      <c r="C65" s="251">
        <v>0.19631007852724999</v>
      </c>
      <c r="D65" s="251">
        <v>0.16221384739983</v>
      </c>
      <c r="E65" s="251">
        <v>0.113282225325282</v>
      </c>
      <c r="F65" s="251">
        <v>7.4534161490683204E-2</v>
      </c>
      <c r="G65" s="251">
        <v>3.3656950007190399E-2</v>
      </c>
      <c r="H65" s="251">
        <v>0</v>
      </c>
      <c r="I65" s="252">
        <v>9.6363214574609404E-2</v>
      </c>
      <c r="J65" s="250">
        <v>4.7157453497511097E-2</v>
      </c>
      <c r="K65" s="251">
        <v>5.5546799219845198E-2</v>
      </c>
      <c r="L65" s="251">
        <v>2.6947511636833801E-2</v>
      </c>
      <c r="M65" s="251">
        <v>2.7381275360480201E-2</v>
      </c>
      <c r="N65" s="251">
        <v>3.2479336105047697E-2</v>
      </c>
      <c r="O65" s="251">
        <v>5.5418917136526701E-3</v>
      </c>
      <c r="P65" s="251">
        <v>0</v>
      </c>
      <c r="Q65" s="252">
        <v>2.4884802128495899E-2</v>
      </c>
      <c r="R65" s="250">
        <v>7.5147778105644797E-2</v>
      </c>
      <c r="S65" s="251">
        <v>0.12859517454122801</v>
      </c>
      <c r="T65" s="251">
        <v>9.5090761159940904E-2</v>
      </c>
      <c r="U65" s="251">
        <v>7.0050230608804304E-2</v>
      </c>
      <c r="V65" s="251">
        <v>5.30631769078782E-2</v>
      </c>
      <c r="W65" s="251">
        <v>1.89031903641423E-2</v>
      </c>
      <c r="X65" s="251">
        <v>0</v>
      </c>
      <c r="Y65" s="252">
        <v>5.9571387728285997E-2</v>
      </c>
    </row>
    <row r="66" spans="1:25" ht="11.25" customHeight="1" x14ac:dyDescent="0.3">
      <c r="A66" s="71" t="s">
        <v>37</v>
      </c>
      <c r="B66" s="250">
        <v>0.292757749201635</v>
      </c>
      <c r="C66" s="251">
        <v>0.21240106857046701</v>
      </c>
      <c r="D66" s="251">
        <v>0.12682173523986701</v>
      </c>
      <c r="E66" s="251">
        <v>0.129465400371751</v>
      </c>
      <c r="F66" s="251">
        <v>8.1309994353472595E-2</v>
      </c>
      <c r="G66" s="251">
        <v>3.3656950007190399E-2</v>
      </c>
      <c r="H66" s="251">
        <v>6.1251427923913497E-3</v>
      </c>
      <c r="I66" s="252">
        <v>0.115216886991381</v>
      </c>
      <c r="J66" s="250">
        <v>1.1736966203825001</v>
      </c>
      <c r="K66" s="251">
        <v>0.44784606871000199</v>
      </c>
      <c r="L66" s="251">
        <v>0.191626749417485</v>
      </c>
      <c r="M66" s="251">
        <v>0.17341474394970799</v>
      </c>
      <c r="N66" s="251">
        <v>0.13424792256752999</v>
      </c>
      <c r="O66" s="251">
        <v>5.2647971279700403E-2</v>
      </c>
      <c r="P66" s="251">
        <v>6.5529038865928301E-3</v>
      </c>
      <c r="Q66" s="252">
        <v>0.227913187748288</v>
      </c>
      <c r="R66" s="250">
        <v>0.71390389200362503</v>
      </c>
      <c r="S66" s="251">
        <v>0.325663104357656</v>
      </c>
      <c r="T66" s="251">
        <v>0.15897986631427599</v>
      </c>
      <c r="U66" s="251">
        <v>0.151584105579708</v>
      </c>
      <c r="V66" s="251">
        <v>0.108337319520251</v>
      </c>
      <c r="W66" s="251">
        <v>4.3622746994174601E-2</v>
      </c>
      <c r="X66" s="251">
        <v>6.3748246445110898E-3</v>
      </c>
      <c r="Y66" s="252">
        <v>0.17322464963993101</v>
      </c>
    </row>
    <row r="67" spans="1:25" ht="11.25" customHeight="1" x14ac:dyDescent="0.3">
      <c r="A67" s="71" t="s">
        <v>177</v>
      </c>
      <c r="B67" s="250">
        <v>0.239965368198062</v>
      </c>
      <c r="C67" s="251">
        <v>0.14160071238031099</v>
      </c>
      <c r="D67" s="251">
        <v>5.8986853599938202E-2</v>
      </c>
      <c r="E67" s="251">
        <v>6.7044582335370903E-2</v>
      </c>
      <c r="F67" s="251">
        <v>7.6792772444946394E-2</v>
      </c>
      <c r="G67" s="251">
        <v>2.7537504551337601E-2</v>
      </c>
      <c r="H67" s="251">
        <v>2.4500571169565399E-2</v>
      </c>
      <c r="I67" s="252">
        <v>8.1280276641192306E-2</v>
      </c>
      <c r="J67" s="250">
        <v>0.24626670159811401</v>
      </c>
      <c r="K67" s="251">
        <v>0.121508623293411</v>
      </c>
      <c r="L67" s="251">
        <v>5.3895023273667603E-2</v>
      </c>
      <c r="M67" s="251">
        <v>7.5298507241320506E-2</v>
      </c>
      <c r="N67" s="251">
        <v>6.7123961283765202E-2</v>
      </c>
      <c r="O67" s="251">
        <v>4.7106079566047697E-2</v>
      </c>
      <c r="P67" s="251">
        <v>3.05802181374332E-2</v>
      </c>
      <c r="Q67" s="252">
        <v>7.7024387540582495E-2</v>
      </c>
      <c r="R67" s="250">
        <v>0.24297781587491801</v>
      </c>
      <c r="S67" s="251">
        <v>0.131935308944897</v>
      </c>
      <c r="T67" s="251">
        <v>5.6460139438714897E-2</v>
      </c>
      <c r="U67" s="251">
        <v>7.1198595045014204E-2</v>
      </c>
      <c r="V67" s="251">
        <v>7.1856385396085104E-2</v>
      </c>
      <c r="W67" s="251">
        <v>3.7806380728284697E-2</v>
      </c>
      <c r="X67" s="251">
        <v>2.80492284358488E-2</v>
      </c>
      <c r="Y67" s="252">
        <v>7.9089658110249997E-2</v>
      </c>
    </row>
    <row r="68" spans="1:25" ht="11.25" customHeight="1" x14ac:dyDescent="0.3">
      <c r="A68" s="71" t="s">
        <v>38</v>
      </c>
      <c r="B68" s="250">
        <v>3.8394458911689897E-2</v>
      </c>
      <c r="C68" s="251">
        <v>4.5054772121008099E-2</v>
      </c>
      <c r="D68" s="251">
        <v>8.5530937719910397E-2</v>
      </c>
      <c r="E68" s="251">
        <v>7.86039930828486E-2</v>
      </c>
      <c r="F68" s="251">
        <v>8.1309994353472595E-2</v>
      </c>
      <c r="G68" s="251">
        <v>3.9776395463043103E-2</v>
      </c>
      <c r="H68" s="251">
        <v>9.8002284678261595E-2</v>
      </c>
      <c r="I68" s="252">
        <v>6.9549102692978995E-2</v>
      </c>
      <c r="J68" s="250">
        <v>4.1917736442232102E-2</v>
      </c>
      <c r="K68" s="251">
        <v>2.43017246586823E-2</v>
      </c>
      <c r="L68" s="251">
        <v>4.1918351435074802E-2</v>
      </c>
      <c r="M68" s="251">
        <v>4.1071913040720297E-2</v>
      </c>
      <c r="N68" s="251">
        <v>3.2479336105047697E-2</v>
      </c>
      <c r="O68" s="251">
        <v>7.2044592277484706E-2</v>
      </c>
      <c r="P68" s="251">
        <v>8.95563531167686E-2</v>
      </c>
      <c r="Q68" s="252">
        <v>5.0954594834539201E-2</v>
      </c>
      <c r="R68" s="250">
        <v>4.0078814989677199E-2</v>
      </c>
      <c r="S68" s="251">
        <v>3.50714112385168E-2</v>
      </c>
      <c r="T68" s="251">
        <v>6.3889105154335296E-2</v>
      </c>
      <c r="U68" s="251">
        <v>5.9714950682915102E-2</v>
      </c>
      <c r="V68" s="251">
        <v>5.6379625464620602E-2</v>
      </c>
      <c r="W68" s="251">
        <v>5.6709571092426997E-2</v>
      </c>
      <c r="X68" s="251">
        <v>9.3072439809861907E-2</v>
      </c>
      <c r="Y68" s="252">
        <v>5.9978018361243599E-2</v>
      </c>
    </row>
    <row r="69" spans="1:25" ht="11.25" customHeight="1" x14ac:dyDescent="0.3">
      <c r="A69" s="71" t="s">
        <v>39</v>
      </c>
      <c r="B69" s="250">
        <v>0.50392727321592901</v>
      </c>
      <c r="C69" s="251">
        <v>0.50203888934837604</v>
      </c>
      <c r="D69" s="251">
        <v>0.33622506551964798</v>
      </c>
      <c r="E69" s="251">
        <v>0.53404477653347204</v>
      </c>
      <c r="F69" s="251">
        <v>0.61434217955957104</v>
      </c>
      <c r="G69" s="251">
        <v>0.26619587732959599</v>
      </c>
      <c r="H69" s="251">
        <v>4.9001142339130797E-2</v>
      </c>
      <c r="I69" s="252">
        <v>0.41101005868561702</v>
      </c>
      <c r="J69" s="250">
        <v>0.89075189939743304</v>
      </c>
      <c r="K69" s="251">
        <v>0.520751242686049</v>
      </c>
      <c r="L69" s="251">
        <v>0.46409603374547098</v>
      </c>
      <c r="M69" s="251">
        <v>0.74613975357308504</v>
      </c>
      <c r="N69" s="251">
        <v>0.96788421593042095</v>
      </c>
      <c r="O69" s="251">
        <v>0.46828984980365101</v>
      </c>
      <c r="P69" s="251">
        <v>0.113583667367609</v>
      </c>
      <c r="Q69" s="252">
        <v>0.58064538299823698</v>
      </c>
      <c r="R69" s="250">
        <v>0.68885463263507696</v>
      </c>
      <c r="S69" s="251">
        <v>0.51104056376124496</v>
      </c>
      <c r="T69" s="251">
        <v>0.399678355500377</v>
      </c>
      <c r="U69" s="251">
        <v>0.64078735540512799</v>
      </c>
      <c r="V69" s="251">
        <v>0.794842170765926</v>
      </c>
      <c r="W69" s="251">
        <v>0.372247441016957</v>
      </c>
      <c r="X69" s="251">
        <v>8.6697615165350794E-2</v>
      </c>
      <c r="Y69" s="252">
        <v>0.49832584068951902</v>
      </c>
    </row>
    <row r="70" spans="1:25" ht="11.25" customHeight="1" x14ac:dyDescent="0.3">
      <c r="A70" s="71" t="s">
        <v>178</v>
      </c>
      <c r="B70" s="250">
        <v>0.25436329028994498</v>
      </c>
      <c r="C70" s="251">
        <v>0.30251061281248298</v>
      </c>
      <c r="D70" s="251">
        <v>0.25954215583972801</v>
      </c>
      <c r="E70" s="251">
        <v>0.26586644719198799</v>
      </c>
      <c r="F70" s="251">
        <v>0.28458498023715401</v>
      </c>
      <c r="G70" s="251">
        <v>0.18664308640350999</v>
      </c>
      <c r="H70" s="251">
        <v>3.9813428150543798E-2</v>
      </c>
      <c r="I70" s="252">
        <v>0.23043377398276199</v>
      </c>
      <c r="J70" s="250">
        <v>0.37201991092481002</v>
      </c>
      <c r="K70" s="251">
        <v>0.21177217202566001</v>
      </c>
      <c r="L70" s="251">
        <v>0.25151010861044898</v>
      </c>
      <c r="M70" s="251">
        <v>0.28978516423174899</v>
      </c>
      <c r="N70" s="251">
        <v>0.30530575938744797</v>
      </c>
      <c r="O70" s="251">
        <v>0.18565337240736501</v>
      </c>
      <c r="P70" s="251">
        <v>6.3344737570397297E-2</v>
      </c>
      <c r="Q70" s="252">
        <v>0.22909817832583501</v>
      </c>
      <c r="R70" s="250">
        <v>0.31061081616999803</v>
      </c>
      <c r="S70" s="251">
        <v>0.25886041628429102</v>
      </c>
      <c r="T70" s="251">
        <v>0.25555642061734102</v>
      </c>
      <c r="U70" s="251">
        <v>0.277904193562797</v>
      </c>
      <c r="V70" s="251">
        <v>0.29516392155007298</v>
      </c>
      <c r="W70" s="251">
        <v>0.186123720508478</v>
      </c>
      <c r="X70" s="251">
        <v>5.3548527013893198E-2</v>
      </c>
      <c r="Y70" s="252">
        <v>0.22974630762103501</v>
      </c>
    </row>
    <row r="71" spans="1:25" ht="11.25" customHeight="1" x14ac:dyDescent="0.3">
      <c r="A71" s="71" t="s">
        <v>40</v>
      </c>
      <c r="B71" s="250">
        <v>0.66710372359061099</v>
      </c>
      <c r="C71" s="251">
        <v>0.93005922449795297</v>
      </c>
      <c r="D71" s="251">
        <v>0.637058018879332</v>
      </c>
      <c r="E71" s="251">
        <v>0.89701027400427202</v>
      </c>
      <c r="F71" s="251">
        <v>0.69791078486730695</v>
      </c>
      <c r="G71" s="251">
        <v>0.15910558185217299</v>
      </c>
      <c r="H71" s="251">
        <v>1.2250285584782699E-2</v>
      </c>
      <c r="I71" s="252">
        <v>0.58530178591621496</v>
      </c>
      <c r="J71" s="250">
        <v>2.0487293686140902</v>
      </c>
      <c r="K71" s="251">
        <v>1.0276157855671399</v>
      </c>
      <c r="L71" s="251">
        <v>0.559909408454213</v>
      </c>
      <c r="M71" s="251">
        <v>0.68681365695871199</v>
      </c>
      <c r="N71" s="251">
        <v>0.65608258932196395</v>
      </c>
      <c r="O71" s="251">
        <v>0.16348580555275399</v>
      </c>
      <c r="P71" s="251">
        <v>1.09215064776547E-2</v>
      </c>
      <c r="Q71" s="252">
        <v>0.60908515685937503</v>
      </c>
      <c r="R71" s="250">
        <v>1.32761074653306</v>
      </c>
      <c r="S71" s="251">
        <v>0.97698931307296899</v>
      </c>
      <c r="T71" s="251">
        <v>0.59877463667900299</v>
      </c>
      <c r="U71" s="251">
        <v>0.79122309654862499</v>
      </c>
      <c r="V71" s="251">
        <v>0.67655550557544697</v>
      </c>
      <c r="W71" s="251">
        <v>0.161404163878446</v>
      </c>
      <c r="X71" s="251">
        <v>1.147468436012E-2</v>
      </c>
      <c r="Y71" s="252">
        <v>0.597543715131169</v>
      </c>
    </row>
    <row r="72" spans="1:25" ht="11.25" customHeight="1" x14ac:dyDescent="0.3">
      <c r="A72" s="71" t="s">
        <v>41</v>
      </c>
      <c r="B72" s="250">
        <v>0.12958129882695299</v>
      </c>
      <c r="C72" s="251">
        <v>0.344347186924848</v>
      </c>
      <c r="D72" s="251">
        <v>0.41880666055956101</v>
      </c>
      <c r="E72" s="251">
        <v>0.52248536578599403</v>
      </c>
      <c r="F72" s="251">
        <v>0.52625635234330903</v>
      </c>
      <c r="G72" s="251">
        <v>0.25089726368996401</v>
      </c>
      <c r="H72" s="251">
        <v>2.4500571169565399E-2</v>
      </c>
      <c r="I72" s="252">
        <v>0.34565066097414199</v>
      </c>
      <c r="J72" s="250">
        <v>0.256746135708672</v>
      </c>
      <c r="K72" s="251">
        <v>0.24648892153806301</v>
      </c>
      <c r="L72" s="251">
        <v>0.36229432311743198</v>
      </c>
      <c r="M72" s="251">
        <v>0.58641564730361795</v>
      </c>
      <c r="N72" s="251">
        <v>0.78166935559481499</v>
      </c>
      <c r="O72" s="251">
        <v>0.29649120668041801</v>
      </c>
      <c r="P72" s="251">
        <v>2.1843012955309399E-2</v>
      </c>
      <c r="Q72" s="252">
        <v>0.38551693456209501</v>
      </c>
      <c r="R72" s="250">
        <v>0.19037437120096701</v>
      </c>
      <c r="S72" s="251">
        <v>0.29727196192647598</v>
      </c>
      <c r="T72" s="251">
        <v>0.39076359664163202</v>
      </c>
      <c r="U72" s="251">
        <v>0.55466002268938497</v>
      </c>
      <c r="V72" s="251">
        <v>0.656656814234993</v>
      </c>
      <c r="W72" s="251">
        <v>0.27482330606330002</v>
      </c>
      <c r="X72" s="251">
        <v>2.29493687202399E-2</v>
      </c>
      <c r="Y72" s="252">
        <v>0.36617088497830402</v>
      </c>
    </row>
    <row r="73" spans="1:25" ht="11.25" customHeight="1" x14ac:dyDescent="0.3">
      <c r="A73" s="71" t="s">
        <v>42</v>
      </c>
      <c r="B73" s="250">
        <v>0.18237367983052699</v>
      </c>
      <c r="C73" s="251">
        <v>0.30572881082112602</v>
      </c>
      <c r="D73" s="251">
        <v>0.28608623995970001</v>
      </c>
      <c r="E73" s="251">
        <v>0.29360903298593499</v>
      </c>
      <c r="F73" s="251">
        <v>0.146809712027103</v>
      </c>
      <c r="G73" s="251">
        <v>7.3433345470233502E-2</v>
      </c>
      <c r="H73" s="251">
        <v>4.5938570942935103E-2</v>
      </c>
      <c r="I73" s="252">
        <v>0.19314539964736899</v>
      </c>
      <c r="J73" s="250">
        <v>0.18339009693476599</v>
      </c>
      <c r="K73" s="251">
        <v>0.21177217202566001</v>
      </c>
      <c r="L73" s="251">
        <v>0.20659758921572599</v>
      </c>
      <c r="M73" s="251">
        <v>0.20535956520360099</v>
      </c>
      <c r="N73" s="251">
        <v>0.14723965700955</v>
      </c>
      <c r="O73" s="251">
        <v>4.7106079566047697E-2</v>
      </c>
      <c r="P73" s="251">
        <v>2.4027314250840402E-2</v>
      </c>
      <c r="Q73" s="252">
        <v>0.13864389757304801</v>
      </c>
      <c r="R73" s="250">
        <v>0.182859593390402</v>
      </c>
      <c r="S73" s="251">
        <v>0.26053048348612501</v>
      </c>
      <c r="T73" s="251">
        <v>0.246641661758597</v>
      </c>
      <c r="U73" s="251">
        <v>0.24919508265755</v>
      </c>
      <c r="V73" s="251">
        <v>0.147029219348913</v>
      </c>
      <c r="W73" s="251">
        <v>5.9617754225372001E-2</v>
      </c>
      <c r="X73" s="251">
        <v>3.3149088151457701E-2</v>
      </c>
      <c r="Y73" s="252">
        <v>0.16509203698077901</v>
      </c>
    </row>
    <row r="74" spans="1:25" ht="11.25" customHeight="1" x14ac:dyDescent="0.3">
      <c r="A74" s="71" t="s">
        <v>43</v>
      </c>
      <c r="B74" s="250">
        <v>1.7325499583900099</v>
      </c>
      <c r="C74" s="251">
        <v>3.23107080067801</v>
      </c>
      <c r="D74" s="251">
        <v>3.60704609763622</v>
      </c>
      <c r="E74" s="251">
        <v>4.6330118275890797</v>
      </c>
      <c r="F74" s="251">
        <v>3.6002258610954301</v>
      </c>
      <c r="G74" s="251">
        <v>0.93933487747340305</v>
      </c>
      <c r="H74" s="251">
        <v>7.9626856301087498E-2</v>
      </c>
      <c r="I74" s="252">
        <v>2.7312686774429502</v>
      </c>
      <c r="J74" s="250">
        <v>0.81739586062352598</v>
      </c>
      <c r="K74" s="251">
        <v>1.12829435915311</v>
      </c>
      <c r="L74" s="251">
        <v>1.71565824087842</v>
      </c>
      <c r="M74" s="251">
        <v>2.33653549742764</v>
      </c>
      <c r="N74" s="251">
        <v>2.18694196440654</v>
      </c>
      <c r="O74" s="251">
        <v>0.68719457249293103</v>
      </c>
      <c r="P74" s="251">
        <v>9.1740654412299505E-2</v>
      </c>
      <c r="Q74" s="252">
        <v>1.3342993903183999</v>
      </c>
      <c r="R74" s="250">
        <v>1.29504670935394</v>
      </c>
      <c r="S74" s="251">
        <v>2.2195193112375602</v>
      </c>
      <c r="T74" s="251">
        <v>2.6684844850508398</v>
      </c>
      <c r="U74" s="251">
        <v>3.47724751284359</v>
      </c>
      <c r="V74" s="251">
        <v>2.8786773472523901</v>
      </c>
      <c r="W74" s="251">
        <v>0.80702081939223003</v>
      </c>
      <c r="X74" s="251">
        <v>8.6697615165350794E-2</v>
      </c>
      <c r="Y74" s="252">
        <v>2.0122116871906002</v>
      </c>
    </row>
    <row r="75" spans="1:25" ht="11.25" customHeight="1" x14ac:dyDescent="0.3">
      <c r="A75" s="71" t="s">
        <v>44</v>
      </c>
      <c r="B75" s="250">
        <v>0.59031480576723205</v>
      </c>
      <c r="C75" s="251">
        <v>0.50203888934837604</v>
      </c>
      <c r="D75" s="251">
        <v>0.44535074467953301</v>
      </c>
      <c r="E75" s="251">
        <v>0.321351618779881</v>
      </c>
      <c r="F75" s="251">
        <v>0.286843591191417</v>
      </c>
      <c r="G75" s="251">
        <v>9.4851404565718306E-2</v>
      </c>
      <c r="H75" s="251">
        <v>2.1437999773369701E-2</v>
      </c>
      <c r="I75" s="252">
        <v>0.30752434564244902</v>
      </c>
      <c r="J75" s="250">
        <v>0.79643699240240995</v>
      </c>
      <c r="K75" s="251">
        <v>0.51380789278356798</v>
      </c>
      <c r="L75" s="251">
        <v>0.29941679596482002</v>
      </c>
      <c r="M75" s="251">
        <v>0.37877430915330901</v>
      </c>
      <c r="N75" s="251">
        <v>0.25766939976671199</v>
      </c>
      <c r="O75" s="251">
        <v>0.10252499670257401</v>
      </c>
      <c r="P75" s="251">
        <v>2.1843012955309399E-2</v>
      </c>
      <c r="Q75" s="252">
        <v>0.28913770092157098</v>
      </c>
      <c r="R75" s="250">
        <v>0.68885463263507696</v>
      </c>
      <c r="S75" s="251">
        <v>0.50770042935757698</v>
      </c>
      <c r="T75" s="251">
        <v>0.37293407892414299</v>
      </c>
      <c r="U75" s="251">
        <v>0.35025115304402099</v>
      </c>
      <c r="V75" s="251">
        <v>0.271948781652876</v>
      </c>
      <c r="W75" s="251">
        <v>9.8878226520129106E-2</v>
      </c>
      <c r="X75" s="251">
        <v>2.1674403791337699E-2</v>
      </c>
      <c r="Y75" s="252">
        <v>0.29806025395790903</v>
      </c>
    </row>
    <row r="76" spans="1:25" ht="11.25" customHeight="1" thickBot="1" x14ac:dyDescent="0.35">
      <c r="A76" s="44" t="s">
        <v>1</v>
      </c>
      <c r="B76" s="253">
        <v>4.7321170608657797</v>
      </c>
      <c r="C76" s="254">
        <v>6.7131610460302102</v>
      </c>
      <c r="D76" s="254">
        <v>6.4236683570332698</v>
      </c>
      <c r="E76" s="254">
        <v>7.8557755439858701</v>
      </c>
      <c r="F76" s="254">
        <v>6.4709203839638603</v>
      </c>
      <c r="G76" s="254">
        <v>2.10508923681336</v>
      </c>
      <c r="H76" s="254">
        <v>0.40119685290163298</v>
      </c>
      <c r="I76" s="255">
        <v>5.1667441831916703</v>
      </c>
      <c r="J76" s="253">
        <v>6.8745087765260697</v>
      </c>
      <c r="K76" s="254">
        <v>4.5097057616611798</v>
      </c>
      <c r="L76" s="254">
        <v>4.1738701357495902</v>
      </c>
      <c r="M76" s="254">
        <v>5.5469900334439499</v>
      </c>
      <c r="N76" s="254">
        <v>5.5691234974788504</v>
      </c>
      <c r="O76" s="254">
        <v>2.12808641804263</v>
      </c>
      <c r="P76" s="254">
        <v>0.473993381130214</v>
      </c>
      <c r="Q76" s="255">
        <v>3.94720361381047</v>
      </c>
      <c r="R76" s="253">
        <v>5.7563198028923903</v>
      </c>
      <c r="S76" s="254">
        <v>5.6531774782085504</v>
      </c>
      <c r="T76" s="254">
        <v>5.3072531072392</v>
      </c>
      <c r="U76" s="254">
        <v>6.6938162986675396</v>
      </c>
      <c r="V76" s="254">
        <v>6.0105102676694599</v>
      </c>
      <c r="W76" s="254">
        <v>2.11715732078394</v>
      </c>
      <c r="X76" s="254">
        <v>0.44368779525797197</v>
      </c>
      <c r="Y76" s="255">
        <v>4.53901444038903</v>
      </c>
    </row>
    <row r="77" spans="1:25" ht="11.25" customHeight="1" x14ac:dyDescent="0.3"/>
    <row r="78" spans="1:25" ht="30.75" customHeight="1" x14ac:dyDescent="0.3">
      <c r="A78" s="478" t="s">
        <v>251</v>
      </c>
      <c r="B78" s="479"/>
      <c r="C78" s="479"/>
      <c r="D78" s="479"/>
      <c r="E78" s="479"/>
      <c r="F78" s="479"/>
      <c r="G78" s="479"/>
      <c r="H78" s="479"/>
      <c r="I78" s="479"/>
      <c r="J78" s="479"/>
      <c r="K78" s="479"/>
    </row>
    <row r="79" spans="1:25" ht="11.25" customHeight="1" thickBot="1" x14ac:dyDescent="0.35"/>
    <row r="80" spans="1:25" ht="11.25" customHeight="1" x14ac:dyDescent="0.3">
      <c r="A80" s="636" t="s">
        <v>2</v>
      </c>
      <c r="B80" s="590" t="s">
        <v>66</v>
      </c>
      <c r="C80" s="590"/>
      <c r="D80" s="590"/>
      <c r="E80" s="590"/>
      <c r="F80" s="590"/>
      <c r="G80" s="591"/>
    </row>
    <row r="81" spans="1:7" ht="21.75" customHeight="1" x14ac:dyDescent="0.3">
      <c r="A81" s="637"/>
      <c r="B81" s="592" t="s">
        <v>51</v>
      </c>
      <c r="C81" s="592"/>
      <c r="D81" s="592" t="s">
        <v>52</v>
      </c>
      <c r="E81" s="592"/>
      <c r="F81" s="592" t="s">
        <v>0</v>
      </c>
      <c r="G81" s="593"/>
    </row>
    <row r="82" spans="1:7" ht="24.75" customHeight="1" x14ac:dyDescent="0.3">
      <c r="A82" s="637"/>
      <c r="B82" s="182" t="s">
        <v>53</v>
      </c>
      <c r="C82" s="182" t="s">
        <v>54</v>
      </c>
      <c r="D82" s="182" t="s">
        <v>53</v>
      </c>
      <c r="E82" s="182" t="s">
        <v>54</v>
      </c>
      <c r="F82" s="182" t="s">
        <v>53</v>
      </c>
      <c r="G82" s="183" t="s">
        <v>54</v>
      </c>
    </row>
    <row r="83" spans="1:7" ht="11.25" customHeight="1" x14ac:dyDescent="0.3">
      <c r="A83" s="258" t="s">
        <v>3</v>
      </c>
      <c r="B83" s="34">
        <v>44865</v>
      </c>
      <c r="C83" s="144">
        <v>121.74052728993099</v>
      </c>
      <c r="D83" s="34"/>
      <c r="E83" s="144"/>
      <c r="F83" s="237">
        <v>44865</v>
      </c>
      <c r="G83" s="249">
        <v>121.74052728993099</v>
      </c>
    </row>
    <row r="84" spans="1:7" ht="11.25" customHeight="1" x14ac:dyDescent="0.3">
      <c r="A84" s="258" t="s">
        <v>4</v>
      </c>
      <c r="B84" s="34">
        <v>8364</v>
      </c>
      <c r="C84" s="144">
        <v>789.63020307204295</v>
      </c>
      <c r="D84" s="38"/>
      <c r="E84" s="167"/>
      <c r="F84" s="237">
        <v>8364</v>
      </c>
      <c r="G84" s="249">
        <v>789.63020307204295</v>
      </c>
    </row>
    <row r="85" spans="1:7" ht="11.25" customHeight="1" x14ac:dyDescent="0.3">
      <c r="A85" s="258" t="s">
        <v>5</v>
      </c>
      <c r="B85" s="34">
        <v>382634</v>
      </c>
      <c r="C85" s="144">
        <v>447.06218846588598</v>
      </c>
      <c r="D85" s="34">
        <v>2793</v>
      </c>
      <c r="E85" s="144">
        <v>3.26328735132063</v>
      </c>
      <c r="F85" s="237">
        <v>385427</v>
      </c>
      <c r="G85" s="249">
        <v>450.32547581720598</v>
      </c>
    </row>
    <row r="86" spans="1:7" ht="11.25" customHeight="1" x14ac:dyDescent="0.3">
      <c r="A86" s="258" t="s">
        <v>23</v>
      </c>
      <c r="B86" s="38">
        <v>7231</v>
      </c>
      <c r="C86" s="144">
        <v>162.69400207895501</v>
      </c>
      <c r="D86" s="38"/>
      <c r="E86" s="167"/>
      <c r="F86" s="259">
        <v>7231</v>
      </c>
      <c r="G86" s="178">
        <v>162.69400207895501</v>
      </c>
    </row>
    <row r="87" spans="1:7" ht="11.25" customHeight="1" x14ac:dyDescent="0.3">
      <c r="A87" s="258" t="s">
        <v>24</v>
      </c>
      <c r="B87" s="34">
        <v>8213</v>
      </c>
      <c r="C87" s="144">
        <v>177.71209472208301</v>
      </c>
      <c r="D87" s="34"/>
      <c r="E87" s="144"/>
      <c r="F87" s="237">
        <v>8213</v>
      </c>
      <c r="G87" s="249">
        <v>177.71209472208301</v>
      </c>
    </row>
    <row r="88" spans="1:7" ht="11.25" customHeight="1" x14ac:dyDescent="0.3">
      <c r="A88" s="258" t="s">
        <v>6</v>
      </c>
      <c r="B88" s="34">
        <v>256896</v>
      </c>
      <c r="C88" s="144">
        <v>615.81949615640201</v>
      </c>
      <c r="D88" s="34"/>
      <c r="E88" s="144"/>
      <c r="F88" s="237">
        <v>256896</v>
      </c>
      <c r="G88" s="249">
        <v>615.81949615640201</v>
      </c>
    </row>
    <row r="89" spans="1:7" ht="11.25" customHeight="1" x14ac:dyDescent="0.3">
      <c r="A89" s="258" t="s">
        <v>22</v>
      </c>
      <c r="B89" s="34">
        <v>64207</v>
      </c>
      <c r="C89" s="144">
        <v>741.97637721571903</v>
      </c>
      <c r="D89" s="34"/>
      <c r="E89" s="144"/>
      <c r="F89" s="237">
        <v>64207</v>
      </c>
      <c r="G89" s="249">
        <v>741.97637721571903</v>
      </c>
    </row>
    <row r="90" spans="1:7" ht="11.25" customHeight="1" x14ac:dyDescent="0.3">
      <c r="A90" s="258" t="s">
        <v>7</v>
      </c>
      <c r="B90" s="34">
        <v>22068</v>
      </c>
      <c r="C90" s="144">
        <v>265.35233012965801</v>
      </c>
      <c r="D90" s="34"/>
      <c r="E90" s="144"/>
      <c r="F90" s="237">
        <v>22068</v>
      </c>
      <c r="G90" s="249">
        <v>265.35233012965801</v>
      </c>
    </row>
    <row r="91" spans="1:7" ht="11.25" customHeight="1" x14ac:dyDescent="0.3">
      <c r="A91" s="258" t="s">
        <v>8</v>
      </c>
      <c r="B91" s="34">
        <v>33439</v>
      </c>
      <c r="C91" s="144">
        <v>87.344149112205301</v>
      </c>
      <c r="D91" s="34"/>
      <c r="E91" s="144"/>
      <c r="F91" s="237">
        <v>33439</v>
      </c>
      <c r="G91" s="249">
        <v>87.344149112205301</v>
      </c>
    </row>
    <row r="92" spans="1:7" ht="11.25" customHeight="1" x14ac:dyDescent="0.3">
      <c r="A92" s="258" t="s">
        <v>9</v>
      </c>
      <c r="B92" s="34">
        <v>84558</v>
      </c>
      <c r="C92" s="144">
        <v>266.11897398260402</v>
      </c>
      <c r="D92" s="34">
        <v>10904</v>
      </c>
      <c r="E92" s="144">
        <v>34.316815585826497</v>
      </c>
      <c r="F92" s="237">
        <v>95462</v>
      </c>
      <c r="G92" s="249">
        <v>300.43578956843101</v>
      </c>
    </row>
    <row r="93" spans="1:7" ht="11.25" customHeight="1" x14ac:dyDescent="0.3">
      <c r="A93" s="258" t="s">
        <v>10</v>
      </c>
      <c r="B93" s="34">
        <v>48515</v>
      </c>
      <c r="C93" s="144">
        <v>655.80662254520303</v>
      </c>
      <c r="D93" s="34">
        <v>8</v>
      </c>
      <c r="E93" s="144">
        <v>0.108140842633446</v>
      </c>
      <c r="F93" s="237">
        <v>48523</v>
      </c>
      <c r="G93" s="249">
        <v>655.91476338783605</v>
      </c>
    </row>
    <row r="94" spans="1:7" ht="11.25" customHeight="1" x14ac:dyDescent="0.3">
      <c r="A94" s="258" t="s">
        <v>11</v>
      </c>
      <c r="B94" s="34">
        <v>21683</v>
      </c>
      <c r="C94" s="144">
        <v>169.058471480008</v>
      </c>
      <c r="D94" s="34">
        <v>2682</v>
      </c>
      <c r="E94" s="144">
        <v>20.9110741368529</v>
      </c>
      <c r="F94" s="237">
        <v>24365</v>
      </c>
      <c r="G94" s="249">
        <v>189.96954561686101</v>
      </c>
    </row>
    <row r="95" spans="1:7" ht="11.25" customHeight="1" x14ac:dyDescent="0.3">
      <c r="A95" s="258" t="s">
        <v>12</v>
      </c>
      <c r="B95" s="34">
        <v>112195</v>
      </c>
      <c r="C95" s="144">
        <v>228.87666934925301</v>
      </c>
      <c r="D95" s="34"/>
      <c r="E95" s="144"/>
      <c r="F95" s="237">
        <v>112195</v>
      </c>
      <c r="G95" s="249">
        <v>228.87666934925301</v>
      </c>
    </row>
    <row r="96" spans="1:7" ht="11.25" customHeight="1" x14ac:dyDescent="0.3">
      <c r="A96" s="258" t="s">
        <v>13</v>
      </c>
      <c r="B96" s="34"/>
      <c r="C96" s="144"/>
      <c r="D96" s="34"/>
      <c r="E96" s="144"/>
      <c r="F96" s="237"/>
      <c r="G96" s="249"/>
    </row>
    <row r="97" spans="1:17" ht="11.25" customHeight="1" x14ac:dyDescent="0.3">
      <c r="A97" s="258" t="s">
        <v>14</v>
      </c>
      <c r="B97" s="34">
        <v>182</v>
      </c>
      <c r="C97" s="144">
        <v>7.1773353945168301</v>
      </c>
      <c r="D97" s="34"/>
      <c r="E97" s="144"/>
      <c r="F97" s="237">
        <v>182</v>
      </c>
      <c r="G97" s="249">
        <v>7.1773353945168301</v>
      </c>
    </row>
    <row r="98" spans="1:17" ht="11.25" customHeight="1" x14ac:dyDescent="0.3">
      <c r="A98" s="258" t="s">
        <v>15</v>
      </c>
      <c r="B98" s="34">
        <v>24634</v>
      </c>
      <c r="C98" s="144">
        <v>62.481389250887901</v>
      </c>
      <c r="D98" s="34"/>
      <c r="E98" s="144"/>
      <c r="F98" s="237">
        <v>24634</v>
      </c>
      <c r="G98" s="249">
        <v>62.481389250887901</v>
      </c>
    </row>
    <row r="99" spans="1:17" ht="11.25" customHeight="1" x14ac:dyDescent="0.3">
      <c r="A99" s="258" t="s">
        <v>16</v>
      </c>
      <c r="B99" s="34">
        <v>203543</v>
      </c>
      <c r="C99" s="144">
        <v>608.64845791793505</v>
      </c>
      <c r="D99" s="34"/>
      <c r="E99" s="144"/>
      <c r="F99" s="237">
        <v>203543</v>
      </c>
      <c r="G99" s="249">
        <v>608.64845791793505</v>
      </c>
    </row>
    <row r="100" spans="1:17" ht="11.25" customHeight="1" x14ac:dyDescent="0.3">
      <c r="A100" s="258" t="s">
        <v>17</v>
      </c>
      <c r="B100" s="34">
        <v>6054</v>
      </c>
      <c r="C100" s="144">
        <v>130.340426631301</v>
      </c>
      <c r="D100" s="34"/>
      <c r="E100" s="144"/>
      <c r="F100" s="237">
        <v>6054</v>
      </c>
      <c r="G100" s="249">
        <v>130.340426631301</v>
      </c>
    </row>
    <row r="101" spans="1:17" ht="11.25" customHeight="1" x14ac:dyDescent="0.3">
      <c r="A101" s="258" t="s">
        <v>18</v>
      </c>
      <c r="B101" s="34">
        <v>621</v>
      </c>
      <c r="C101" s="144">
        <v>3.9558877113947402</v>
      </c>
      <c r="D101" s="34"/>
      <c r="E101" s="144"/>
      <c r="F101" s="237">
        <v>621</v>
      </c>
      <c r="G101" s="249">
        <v>3.9558877113947402</v>
      </c>
    </row>
    <row r="102" spans="1:17" ht="11.25" customHeight="1" x14ac:dyDescent="0.3">
      <c r="A102" s="258" t="s">
        <v>19</v>
      </c>
      <c r="B102" s="34">
        <v>31822</v>
      </c>
      <c r="C102" s="144">
        <v>78.164108766553596</v>
      </c>
      <c r="D102" s="34"/>
      <c r="E102" s="144"/>
      <c r="F102" s="237">
        <v>31822</v>
      </c>
      <c r="G102" s="249">
        <v>78.164108766553596</v>
      </c>
    </row>
    <row r="103" spans="1:17" ht="11.25" customHeight="1" x14ac:dyDescent="0.3">
      <c r="A103" s="258" t="s">
        <v>20</v>
      </c>
      <c r="B103" s="38"/>
      <c r="C103" s="167"/>
      <c r="D103" s="38"/>
      <c r="E103" s="167"/>
      <c r="F103" s="259"/>
      <c r="G103" s="178"/>
    </row>
    <row r="104" spans="1:17" ht="11.25" customHeight="1" thickBot="1" x14ac:dyDescent="0.35">
      <c r="A104" s="37" t="s">
        <v>1</v>
      </c>
      <c r="B104" s="35">
        <v>1361724</v>
      </c>
      <c r="C104" s="169">
        <v>291.58139875793302</v>
      </c>
      <c r="D104" s="35">
        <v>16387</v>
      </c>
      <c r="E104" s="169">
        <v>3.5088934185240501</v>
      </c>
      <c r="F104" s="35">
        <v>1378111</v>
      </c>
      <c r="G104" s="248">
        <v>295.09029217645701</v>
      </c>
    </row>
    <row r="105" spans="1:17" ht="11.25" customHeight="1" x14ac:dyDescent="0.3"/>
    <row r="106" spans="1:17" ht="11.25" customHeight="1" x14ac:dyDescent="0.3"/>
    <row r="107" spans="1:17" s="88" customFormat="1" ht="33.75" customHeight="1" x14ac:dyDescent="0.3">
      <c r="A107" s="478" t="s">
        <v>252</v>
      </c>
      <c r="B107" s="479"/>
      <c r="C107" s="479"/>
      <c r="D107" s="479"/>
      <c r="E107" s="479"/>
      <c r="F107" s="479"/>
      <c r="G107" s="479"/>
      <c r="H107" s="479"/>
      <c r="I107" s="479"/>
      <c r="J107" s="479"/>
      <c r="K107" s="479"/>
    </row>
    <row r="108" spans="1:17" ht="11.25" customHeight="1" thickBot="1" x14ac:dyDescent="0.35"/>
    <row r="109" spans="1:17" ht="11.25" customHeight="1" x14ac:dyDescent="0.3">
      <c r="A109" s="588" t="s">
        <v>2</v>
      </c>
      <c r="B109" s="491" t="s">
        <v>66</v>
      </c>
      <c r="C109" s="635"/>
      <c r="D109" s="635"/>
      <c r="E109" s="635"/>
      <c r="F109" s="635"/>
      <c r="G109" s="635"/>
      <c r="H109" s="635"/>
      <c r="I109" s="635"/>
      <c r="J109" s="635"/>
      <c r="K109" s="635"/>
      <c r="L109" s="635"/>
      <c r="M109" s="635"/>
      <c r="N109" s="635"/>
      <c r="O109" s="635"/>
      <c r="P109" s="635"/>
      <c r="Q109" s="492"/>
    </row>
    <row r="110" spans="1:17" ht="123" customHeight="1" x14ac:dyDescent="0.3">
      <c r="A110" s="589"/>
      <c r="B110" s="592" t="s">
        <v>65</v>
      </c>
      <c r="C110" s="592"/>
      <c r="D110" s="592" t="s">
        <v>55</v>
      </c>
      <c r="E110" s="592"/>
      <c r="F110" s="592" t="s">
        <v>64</v>
      </c>
      <c r="G110" s="592"/>
      <c r="H110" s="491" t="s">
        <v>58</v>
      </c>
      <c r="I110" s="492"/>
      <c r="J110" s="592" t="s">
        <v>59</v>
      </c>
      <c r="K110" s="592"/>
      <c r="L110" s="592" t="s">
        <v>60</v>
      </c>
      <c r="M110" s="592"/>
      <c r="N110" s="592" t="s">
        <v>0</v>
      </c>
      <c r="O110" s="593"/>
    </row>
    <row r="111" spans="1:17" ht="56.15" customHeight="1" x14ac:dyDescent="0.3">
      <c r="A111" s="589"/>
      <c r="B111" s="39" t="s">
        <v>53</v>
      </c>
      <c r="C111" s="39" t="s">
        <v>54</v>
      </c>
      <c r="D111" s="39" t="s">
        <v>53</v>
      </c>
      <c r="E111" s="39" t="s">
        <v>54</v>
      </c>
      <c r="F111" s="39" t="s">
        <v>53</v>
      </c>
      <c r="G111" s="39" t="s">
        <v>54</v>
      </c>
      <c r="H111" s="39" t="s">
        <v>53</v>
      </c>
      <c r="I111" s="442" t="s">
        <v>54</v>
      </c>
      <c r="J111" s="39" t="s">
        <v>53</v>
      </c>
      <c r="K111" s="442" t="s">
        <v>54</v>
      </c>
      <c r="L111" s="442" t="s">
        <v>53</v>
      </c>
      <c r="M111" s="442" t="s">
        <v>54</v>
      </c>
      <c r="N111" s="442" t="s">
        <v>53</v>
      </c>
      <c r="O111" s="443" t="s">
        <v>54</v>
      </c>
    </row>
    <row r="112" spans="1:17" ht="11.25" customHeight="1" x14ac:dyDescent="0.3">
      <c r="A112" s="36" t="s">
        <v>3</v>
      </c>
      <c r="B112" s="42">
        <v>44850</v>
      </c>
      <c r="C112" s="170">
        <v>121.69982500732</v>
      </c>
      <c r="D112" s="42"/>
      <c r="E112" s="170"/>
      <c r="F112" s="42">
        <v>15</v>
      </c>
      <c r="G112" s="170">
        <v>4.0702282611143697E-2</v>
      </c>
      <c r="H112" s="170"/>
      <c r="I112" s="170"/>
      <c r="J112" s="42"/>
      <c r="K112" s="116"/>
      <c r="L112" s="31"/>
      <c r="M112" s="116"/>
      <c r="N112" s="49">
        <v>44865</v>
      </c>
      <c r="O112" s="256">
        <v>121.74052728993099</v>
      </c>
    </row>
    <row r="113" spans="1:15" ht="11.25" customHeight="1" x14ac:dyDescent="0.3">
      <c r="A113" s="36" t="s">
        <v>4</v>
      </c>
      <c r="B113" s="42">
        <v>8364</v>
      </c>
      <c r="C113" s="170">
        <v>789.63020307204295</v>
      </c>
      <c r="D113" s="42"/>
      <c r="E113" s="170"/>
      <c r="F113" s="42"/>
      <c r="G113" s="170"/>
      <c r="H113" s="170"/>
      <c r="I113" s="170"/>
      <c r="J113" s="42"/>
      <c r="K113" s="116"/>
      <c r="L113" s="31"/>
      <c r="M113" s="116"/>
      <c r="N113" s="49">
        <v>8364</v>
      </c>
      <c r="O113" s="256">
        <v>789.63020307204295</v>
      </c>
    </row>
    <row r="114" spans="1:15" ht="11.25" customHeight="1" x14ac:dyDescent="0.3">
      <c r="A114" s="36" t="s">
        <v>5</v>
      </c>
      <c r="B114" s="42">
        <v>379601</v>
      </c>
      <c r="C114" s="170">
        <v>443.51848974173402</v>
      </c>
      <c r="D114" s="42">
        <v>1405</v>
      </c>
      <c r="E114" s="170">
        <v>1.64157491178141</v>
      </c>
      <c r="F114" s="42"/>
      <c r="G114" s="170"/>
      <c r="H114" s="170"/>
      <c r="I114" s="170"/>
      <c r="J114" s="42">
        <v>2</v>
      </c>
      <c r="K114" s="116">
        <v>2.3367614402582402E-3</v>
      </c>
      <c r="L114" s="31">
        <v>4419</v>
      </c>
      <c r="M114" s="116">
        <v>5.1630744022505803</v>
      </c>
      <c r="N114" s="49">
        <v>385427</v>
      </c>
      <c r="O114" s="256">
        <v>450.32547581720598</v>
      </c>
    </row>
    <row r="115" spans="1:15" ht="11.25" customHeight="1" x14ac:dyDescent="0.3">
      <c r="A115" s="36" t="s">
        <v>23</v>
      </c>
      <c r="B115" s="42">
        <v>7231</v>
      </c>
      <c r="C115" s="170">
        <v>162.69400207895501</v>
      </c>
      <c r="D115" s="42"/>
      <c r="E115" s="170"/>
      <c r="F115" s="42"/>
      <c r="G115" s="170"/>
      <c r="H115" s="170"/>
      <c r="I115" s="170"/>
      <c r="J115" s="42"/>
      <c r="K115" s="116"/>
      <c r="L115" s="31"/>
      <c r="M115" s="116"/>
      <c r="N115" s="49">
        <v>7231</v>
      </c>
      <c r="O115" s="256">
        <v>162.69400207895501</v>
      </c>
    </row>
    <row r="116" spans="1:15" ht="11.25" customHeight="1" x14ac:dyDescent="0.3">
      <c r="A116" s="36" t="s">
        <v>24</v>
      </c>
      <c r="B116" s="42">
        <v>8213</v>
      </c>
      <c r="C116" s="170">
        <v>177.71209472208301</v>
      </c>
      <c r="D116" s="42"/>
      <c r="E116" s="170"/>
      <c r="F116" s="42"/>
      <c r="G116" s="170"/>
      <c r="H116" s="170"/>
      <c r="I116" s="170"/>
      <c r="J116" s="42"/>
      <c r="K116" s="116"/>
      <c r="L116" s="31"/>
      <c r="M116" s="116"/>
      <c r="N116" s="49">
        <v>8213</v>
      </c>
      <c r="O116" s="256">
        <v>177.71209472208301</v>
      </c>
    </row>
    <row r="117" spans="1:15" ht="11.25" customHeight="1" x14ac:dyDescent="0.3">
      <c r="A117" s="36" t="s">
        <v>6</v>
      </c>
      <c r="B117" s="42">
        <v>172476</v>
      </c>
      <c r="C117" s="170">
        <v>413.45168246711302</v>
      </c>
      <c r="D117" s="42">
        <v>66652</v>
      </c>
      <c r="E117" s="170">
        <v>159.77516605091699</v>
      </c>
      <c r="F117" s="42">
        <v>15886</v>
      </c>
      <c r="G117" s="170">
        <v>38.081202182753302</v>
      </c>
      <c r="H117" s="170">
        <v>1882</v>
      </c>
      <c r="I117" s="170">
        <v>4.5114454556176398</v>
      </c>
      <c r="J117" s="42"/>
      <c r="K117" s="116"/>
      <c r="L117" s="31"/>
      <c r="M117" s="116"/>
      <c r="N117" s="49">
        <v>256896</v>
      </c>
      <c r="O117" s="256">
        <v>615.81949615640201</v>
      </c>
    </row>
    <row r="118" spans="1:15" ht="11.25" customHeight="1" x14ac:dyDescent="0.3">
      <c r="A118" s="36" t="s">
        <v>22</v>
      </c>
      <c r="B118" s="42">
        <v>53045</v>
      </c>
      <c r="C118" s="170">
        <v>612.98825563268497</v>
      </c>
      <c r="D118" s="42"/>
      <c r="E118" s="170"/>
      <c r="F118" s="42">
        <v>11162</v>
      </c>
      <c r="G118" s="170">
        <v>128.988121583034</v>
      </c>
      <c r="H118" s="170"/>
      <c r="I118" s="170"/>
      <c r="J118" s="42"/>
      <c r="K118" s="116"/>
      <c r="L118" s="31"/>
      <c r="M118" s="116"/>
      <c r="N118" s="49">
        <v>64207</v>
      </c>
      <c r="O118" s="256">
        <v>741.97637721571903</v>
      </c>
    </row>
    <row r="119" spans="1:15" ht="11.25" customHeight="1" x14ac:dyDescent="0.3">
      <c r="A119" s="36" t="s">
        <v>7</v>
      </c>
      <c r="B119" s="42">
        <v>22068</v>
      </c>
      <c r="C119" s="170">
        <v>265.35233012965801</v>
      </c>
      <c r="D119" s="42"/>
      <c r="E119" s="170"/>
      <c r="F119" s="42"/>
      <c r="G119" s="170"/>
      <c r="H119" s="170"/>
      <c r="I119" s="170"/>
      <c r="J119" s="42"/>
      <c r="K119" s="116"/>
      <c r="L119" s="31"/>
      <c r="M119" s="116"/>
      <c r="N119" s="49">
        <v>22068</v>
      </c>
      <c r="O119" s="256">
        <v>265.35233012965801</v>
      </c>
    </row>
    <row r="120" spans="1:15" ht="11.25" customHeight="1" x14ac:dyDescent="0.3">
      <c r="A120" s="36" t="s">
        <v>8</v>
      </c>
      <c r="B120" s="42">
        <v>29874</v>
      </c>
      <c r="C120" s="170">
        <v>78.032211207811898</v>
      </c>
      <c r="D120" s="42"/>
      <c r="E120" s="170"/>
      <c r="F120" s="42">
        <v>3565</v>
      </c>
      <c r="G120" s="170">
        <v>9.3119379043934298</v>
      </c>
      <c r="H120" s="170"/>
      <c r="I120" s="170"/>
      <c r="J120" s="42"/>
      <c r="K120" s="116"/>
      <c r="L120" s="31"/>
      <c r="M120" s="116"/>
      <c r="N120" s="49">
        <v>33439</v>
      </c>
      <c r="O120" s="256">
        <v>87.344149112205301</v>
      </c>
    </row>
    <row r="121" spans="1:15" ht="11.25" customHeight="1" x14ac:dyDescent="0.3">
      <c r="A121" s="36" t="s">
        <v>9</v>
      </c>
      <c r="B121" s="42">
        <v>89119</v>
      </c>
      <c r="C121" s="170">
        <v>280.47324726644098</v>
      </c>
      <c r="D121" s="42">
        <v>286</v>
      </c>
      <c r="E121" s="170">
        <v>0.90009255846903702</v>
      </c>
      <c r="F121" s="42"/>
      <c r="G121" s="170"/>
      <c r="H121" s="170"/>
      <c r="I121" s="170"/>
      <c r="J121" s="42">
        <v>6057</v>
      </c>
      <c r="K121" s="116">
        <v>19.062449743520801</v>
      </c>
      <c r="L121" s="31"/>
      <c r="M121" s="116"/>
      <c r="N121" s="49">
        <v>95462</v>
      </c>
      <c r="O121" s="256">
        <v>300.43578956843101</v>
      </c>
    </row>
    <row r="122" spans="1:15" ht="11.25" customHeight="1" x14ac:dyDescent="0.3">
      <c r="A122" s="36" t="s">
        <v>10</v>
      </c>
      <c r="B122" s="42">
        <v>48523</v>
      </c>
      <c r="C122" s="170">
        <v>655.91476338783605</v>
      </c>
      <c r="D122" s="42"/>
      <c r="E122" s="170"/>
      <c r="F122" s="42"/>
      <c r="G122" s="170"/>
      <c r="H122" s="170"/>
      <c r="I122" s="170"/>
      <c r="J122" s="42"/>
      <c r="K122" s="116"/>
      <c r="L122" s="31"/>
      <c r="M122" s="116"/>
      <c r="N122" s="49">
        <v>48523</v>
      </c>
      <c r="O122" s="256">
        <v>655.91476338783605</v>
      </c>
    </row>
    <row r="123" spans="1:15" ht="11.25" customHeight="1" x14ac:dyDescent="0.3">
      <c r="A123" s="36" t="s">
        <v>11</v>
      </c>
      <c r="B123" s="42">
        <v>2656</v>
      </c>
      <c r="C123" s="170">
        <v>20.7083567887701</v>
      </c>
      <c r="D123" s="42"/>
      <c r="E123" s="170"/>
      <c r="F123" s="42"/>
      <c r="G123" s="170"/>
      <c r="H123" s="170"/>
      <c r="I123" s="170"/>
      <c r="J123" s="42">
        <v>21709</v>
      </c>
      <c r="K123" s="116">
        <v>169.26118882809101</v>
      </c>
      <c r="L123" s="31"/>
      <c r="M123" s="116"/>
      <c r="N123" s="49">
        <v>24365</v>
      </c>
      <c r="O123" s="256">
        <v>189.96954561686101</v>
      </c>
    </row>
    <row r="124" spans="1:15" ht="11.25" customHeight="1" x14ac:dyDescent="0.3">
      <c r="A124" s="36" t="s">
        <v>12</v>
      </c>
      <c r="B124" s="42">
        <v>112195</v>
      </c>
      <c r="C124" s="170">
        <v>228.87666934925301</v>
      </c>
      <c r="D124" s="42"/>
      <c r="E124" s="170"/>
      <c r="F124" s="42"/>
      <c r="G124" s="170"/>
      <c r="H124" s="170"/>
      <c r="I124" s="170"/>
      <c r="J124" s="42"/>
      <c r="K124" s="116"/>
      <c r="L124" s="31"/>
      <c r="M124" s="116"/>
      <c r="N124" s="49">
        <v>112195</v>
      </c>
      <c r="O124" s="256">
        <v>228.87666934925301</v>
      </c>
    </row>
    <row r="125" spans="1:15" ht="11.25" customHeight="1" x14ac:dyDescent="0.3">
      <c r="A125" s="36" t="s">
        <v>13</v>
      </c>
      <c r="B125" s="42"/>
      <c r="C125" s="170"/>
      <c r="D125" s="42"/>
      <c r="E125" s="170"/>
      <c r="F125" s="42"/>
      <c r="G125" s="170"/>
      <c r="H125" s="170"/>
      <c r="I125" s="170"/>
      <c r="J125" s="42"/>
      <c r="K125" s="116"/>
      <c r="L125" s="31"/>
      <c r="M125" s="116"/>
      <c r="N125" s="49"/>
      <c r="O125" s="256"/>
    </row>
    <row r="126" spans="1:15" ht="11.25" customHeight="1" x14ac:dyDescent="0.3">
      <c r="A126" s="36" t="s">
        <v>14</v>
      </c>
      <c r="B126" s="42"/>
      <c r="C126" s="170"/>
      <c r="D126" s="42">
        <v>182</v>
      </c>
      <c r="E126" s="170">
        <v>7.1773353945168301</v>
      </c>
      <c r="F126" s="42"/>
      <c r="G126" s="170"/>
      <c r="H126" s="170"/>
      <c r="I126" s="170"/>
      <c r="J126" s="42"/>
      <c r="K126" s="116"/>
      <c r="L126" s="31"/>
      <c r="M126" s="116"/>
      <c r="N126" s="49">
        <v>182</v>
      </c>
      <c r="O126" s="256">
        <v>7.1773353945168301</v>
      </c>
    </row>
    <row r="127" spans="1:15" ht="11.25" customHeight="1" x14ac:dyDescent="0.3">
      <c r="A127" s="36" t="s">
        <v>15</v>
      </c>
      <c r="B127" s="42">
        <v>19432</v>
      </c>
      <c r="C127" s="170">
        <v>49.287097342017297</v>
      </c>
      <c r="D127" s="42"/>
      <c r="E127" s="170"/>
      <c r="F127" s="42">
        <v>5202</v>
      </c>
      <c r="G127" s="170">
        <v>13.1942919088706</v>
      </c>
      <c r="H127" s="170"/>
      <c r="I127" s="170"/>
      <c r="J127" s="42"/>
      <c r="K127" s="116"/>
      <c r="L127" s="31"/>
      <c r="M127" s="116"/>
      <c r="N127" s="49">
        <v>24634</v>
      </c>
      <c r="O127" s="256">
        <v>62.481389250887901</v>
      </c>
    </row>
    <row r="128" spans="1:15" ht="11.25" customHeight="1" x14ac:dyDescent="0.3">
      <c r="A128" s="36" t="s">
        <v>16</v>
      </c>
      <c r="B128" s="42">
        <v>203543</v>
      </c>
      <c r="C128" s="170">
        <v>608.64845791793505</v>
      </c>
      <c r="D128" s="42"/>
      <c r="E128" s="170"/>
      <c r="F128" s="42"/>
      <c r="G128" s="170"/>
      <c r="H128" s="170"/>
      <c r="I128" s="170"/>
      <c r="J128" s="42"/>
      <c r="K128" s="116"/>
      <c r="L128" s="31"/>
      <c r="M128" s="116"/>
      <c r="N128" s="49">
        <v>203543</v>
      </c>
      <c r="O128" s="256">
        <v>608.64845791793505</v>
      </c>
    </row>
    <row r="129" spans="1:15" ht="11.25" customHeight="1" x14ac:dyDescent="0.3">
      <c r="A129" s="36" t="s">
        <v>17</v>
      </c>
      <c r="B129" s="42">
        <v>5638</v>
      </c>
      <c r="C129" s="170">
        <v>121.38409734840999</v>
      </c>
      <c r="D129" s="42"/>
      <c r="E129" s="170"/>
      <c r="F129" s="42">
        <v>416</v>
      </c>
      <c r="G129" s="170">
        <v>8.9563292828908292</v>
      </c>
      <c r="H129" s="170"/>
      <c r="I129" s="170"/>
      <c r="J129" s="42"/>
      <c r="K129" s="116"/>
      <c r="L129" s="31"/>
      <c r="M129" s="116"/>
      <c r="N129" s="49">
        <v>6054</v>
      </c>
      <c r="O129" s="256">
        <v>130.340426631301</v>
      </c>
    </row>
    <row r="130" spans="1:15" ht="11.25" customHeight="1" x14ac:dyDescent="0.3">
      <c r="A130" s="36" t="s">
        <v>18</v>
      </c>
      <c r="B130" s="42">
        <v>621</v>
      </c>
      <c r="C130" s="170">
        <v>3.9558877113947402</v>
      </c>
      <c r="D130" s="42"/>
      <c r="E130" s="170"/>
      <c r="F130" s="42"/>
      <c r="G130" s="170"/>
      <c r="H130" s="170"/>
      <c r="I130" s="170"/>
      <c r="J130" s="42"/>
      <c r="K130" s="116"/>
      <c r="L130" s="31"/>
      <c r="M130" s="116"/>
      <c r="N130" s="49">
        <v>621</v>
      </c>
      <c r="O130" s="256">
        <v>3.9558877113947402</v>
      </c>
    </row>
    <row r="131" spans="1:15" ht="11.25" customHeight="1" x14ac:dyDescent="0.3">
      <c r="A131" s="36" t="s">
        <v>19</v>
      </c>
      <c r="B131" s="42">
        <v>31822</v>
      </c>
      <c r="C131" s="170">
        <v>78.164108766553596</v>
      </c>
      <c r="D131" s="42"/>
      <c r="E131" s="170"/>
      <c r="F131" s="42"/>
      <c r="G131" s="170"/>
      <c r="H131" s="170"/>
      <c r="I131" s="170"/>
      <c r="J131" s="42"/>
      <c r="K131" s="116"/>
      <c r="L131" s="31"/>
      <c r="M131" s="116"/>
      <c r="N131" s="49">
        <v>31822</v>
      </c>
      <c r="O131" s="256">
        <v>78.164108766553596</v>
      </c>
    </row>
    <row r="132" spans="1:15" ht="11.25" customHeight="1" x14ac:dyDescent="0.3">
      <c r="A132" s="36" t="s">
        <v>20</v>
      </c>
      <c r="B132" s="42"/>
      <c r="C132" s="170"/>
      <c r="D132" s="42"/>
      <c r="E132" s="170"/>
      <c r="F132" s="42"/>
      <c r="G132" s="170"/>
      <c r="H132" s="170"/>
      <c r="I132" s="170"/>
      <c r="J132" s="42"/>
      <c r="K132" s="116"/>
      <c r="L132" s="31"/>
      <c r="M132" s="116"/>
      <c r="N132" s="49"/>
      <c r="O132" s="256"/>
    </row>
    <row r="133" spans="1:15" ht="15" customHeight="1" thickBot="1" x14ac:dyDescent="0.35">
      <c r="A133" s="37" t="s">
        <v>1</v>
      </c>
      <c r="B133" s="30">
        <v>1239271</v>
      </c>
      <c r="C133" s="171">
        <v>265.36094804831401</v>
      </c>
      <c r="D133" s="30">
        <v>68525</v>
      </c>
      <c r="E133" s="171">
        <v>14.673028712049801</v>
      </c>
      <c r="F133" s="30">
        <v>36246</v>
      </c>
      <c r="G133" s="171">
        <v>7.7612345669019804</v>
      </c>
      <c r="H133" s="171">
        <v>1882</v>
      </c>
      <c r="I133" s="171">
        <v>0.40298635587125498</v>
      </c>
      <c r="J133" s="30">
        <v>27768</v>
      </c>
      <c r="K133" s="257">
        <v>5.9458688256286001</v>
      </c>
      <c r="L133" s="32">
        <v>4419</v>
      </c>
      <c r="M133" s="257">
        <v>0.94622566769132699</v>
      </c>
      <c r="N133" s="65">
        <v>1378111</v>
      </c>
      <c r="O133" s="155">
        <v>295.09029217645701</v>
      </c>
    </row>
    <row r="134" spans="1:15" x14ac:dyDescent="0.3">
      <c r="F134" s="43"/>
    </row>
  </sheetData>
  <mergeCells count="44">
    <mergeCell ref="A1:K1"/>
    <mergeCell ref="A30:K30"/>
    <mergeCell ref="A59:K59"/>
    <mergeCell ref="Q62:Q64"/>
    <mergeCell ref="A3:A5"/>
    <mergeCell ref="B4:C4"/>
    <mergeCell ref="D4:E4"/>
    <mergeCell ref="F4:G4"/>
    <mergeCell ref="B32:O32"/>
    <mergeCell ref="B3:G3"/>
    <mergeCell ref="A32:A34"/>
    <mergeCell ref="B61:Y61"/>
    <mergeCell ref="R62:X62"/>
    <mergeCell ref="Y62:Y64"/>
    <mergeCell ref="R63:X63"/>
    <mergeCell ref="B33:C33"/>
    <mergeCell ref="A78:K78"/>
    <mergeCell ref="A61:A64"/>
    <mergeCell ref="B62:H62"/>
    <mergeCell ref="I62:I64"/>
    <mergeCell ref="J62:P62"/>
    <mergeCell ref="B63:H63"/>
    <mergeCell ref="J63:P63"/>
    <mergeCell ref="L33:M33"/>
    <mergeCell ref="D33:E33"/>
    <mergeCell ref="F33:G33"/>
    <mergeCell ref="H33:I33"/>
    <mergeCell ref="J33:K33"/>
    <mergeCell ref="N33:O33"/>
    <mergeCell ref="H110:I110"/>
    <mergeCell ref="J110:K110"/>
    <mergeCell ref="L110:M110"/>
    <mergeCell ref="B80:G80"/>
    <mergeCell ref="A107:K107"/>
    <mergeCell ref="F81:G81"/>
    <mergeCell ref="B109:Q109"/>
    <mergeCell ref="N110:O110"/>
    <mergeCell ref="A109:A111"/>
    <mergeCell ref="B110:C110"/>
    <mergeCell ref="D110:E110"/>
    <mergeCell ref="F110:G110"/>
    <mergeCell ref="A80:A82"/>
    <mergeCell ref="B81:C81"/>
    <mergeCell ref="D81:E81"/>
  </mergeCells>
  <hyperlinks>
    <hyperlink ref="A6" r:id="rId1" xr:uid="{00000000-0004-0000-0500-000000000000}"/>
    <hyperlink ref="A8" r:id="rId2" xr:uid="{00000000-0004-0000-0500-000001000000}"/>
    <hyperlink ref="A10" r:id="rId3" display="PROV. AUTON. TRENTO" xr:uid="{00000000-0004-0000-0500-000002000000}"/>
    <hyperlink ref="A11" r:id="rId4" xr:uid="{00000000-0004-0000-0500-000003000000}"/>
    <hyperlink ref="A12" r:id="rId5" xr:uid="{00000000-0004-0000-0500-000004000000}"/>
    <hyperlink ref="A13" r:id="rId6" xr:uid="{00000000-0004-0000-0500-000005000000}"/>
    <hyperlink ref="A14" r:id="rId7" xr:uid="{00000000-0004-0000-0500-000006000000}"/>
    <hyperlink ref="A15" r:id="rId8" xr:uid="{00000000-0004-0000-0500-000007000000}"/>
    <hyperlink ref="A16" r:id="rId9" xr:uid="{00000000-0004-0000-0500-000008000000}"/>
    <hyperlink ref="A17" r:id="rId10" xr:uid="{00000000-0004-0000-0500-000009000000}"/>
    <hyperlink ref="A18" r:id="rId11" xr:uid="{00000000-0004-0000-0500-00000A000000}"/>
    <hyperlink ref="A19" r:id="rId12" xr:uid="{00000000-0004-0000-0500-00000B000000}"/>
    <hyperlink ref="A20" r:id="rId13" xr:uid="{00000000-0004-0000-0500-00000C000000}"/>
    <hyperlink ref="A21" r:id="rId14" xr:uid="{00000000-0004-0000-0500-00000D000000}"/>
    <hyperlink ref="A22" r:id="rId15" xr:uid="{00000000-0004-0000-0500-00000E000000}"/>
    <hyperlink ref="A23" r:id="rId16" xr:uid="{00000000-0004-0000-0500-00000F000000}"/>
    <hyperlink ref="A24" r:id="rId17" xr:uid="{00000000-0004-0000-0500-000010000000}"/>
    <hyperlink ref="A25" r:id="rId18" xr:uid="{00000000-0004-0000-0500-000011000000}"/>
    <hyperlink ref="A83" r:id="rId19" xr:uid="{00000000-0004-0000-0500-000036000000}"/>
    <hyperlink ref="A85" r:id="rId20" xr:uid="{00000000-0004-0000-0500-000037000000}"/>
    <hyperlink ref="A87" r:id="rId21" display="PROV. AUTON. TRENTO" xr:uid="{00000000-0004-0000-0500-000038000000}"/>
    <hyperlink ref="A88" r:id="rId22" xr:uid="{00000000-0004-0000-0500-000039000000}"/>
    <hyperlink ref="A89" r:id="rId23" xr:uid="{00000000-0004-0000-0500-00003A000000}"/>
    <hyperlink ref="A90" r:id="rId24" xr:uid="{00000000-0004-0000-0500-00003B000000}"/>
    <hyperlink ref="A91" r:id="rId25" xr:uid="{00000000-0004-0000-0500-00003C000000}"/>
    <hyperlink ref="A92" r:id="rId26" xr:uid="{00000000-0004-0000-0500-00003D000000}"/>
    <hyperlink ref="A93" r:id="rId27" xr:uid="{00000000-0004-0000-0500-00003E000000}"/>
    <hyperlink ref="A94" r:id="rId28" xr:uid="{00000000-0004-0000-0500-00003F000000}"/>
    <hyperlink ref="A95" r:id="rId29" xr:uid="{00000000-0004-0000-0500-000040000000}"/>
    <hyperlink ref="A96" r:id="rId30" xr:uid="{00000000-0004-0000-0500-000041000000}"/>
    <hyperlink ref="A97" r:id="rId31" xr:uid="{00000000-0004-0000-0500-000042000000}"/>
    <hyperlink ref="A98" r:id="rId32" xr:uid="{00000000-0004-0000-0500-000043000000}"/>
    <hyperlink ref="A99" r:id="rId33" xr:uid="{00000000-0004-0000-0500-000044000000}"/>
    <hyperlink ref="A100" r:id="rId34" xr:uid="{00000000-0004-0000-0500-000045000000}"/>
    <hyperlink ref="A101" r:id="rId35" xr:uid="{00000000-0004-0000-0500-000046000000}"/>
    <hyperlink ref="A102" r:id="rId36" xr:uid="{00000000-0004-0000-0500-000047000000}"/>
    <hyperlink ref="A35" r:id="rId37" xr:uid="{B7A3ABF0-6A2D-4F4C-9562-D325FAA59E06}"/>
    <hyperlink ref="A37" r:id="rId38" xr:uid="{17140A50-0DB4-405C-8C15-ECD10D2F996E}"/>
    <hyperlink ref="A39" r:id="rId39" display="PROV. AUTON. TRENTO" xr:uid="{F8182B13-E897-4115-868D-7358B69837FB}"/>
    <hyperlink ref="A40" r:id="rId40" xr:uid="{F4E7AC04-C704-4B5E-A92C-F592D51DF3CC}"/>
    <hyperlink ref="A41" r:id="rId41" xr:uid="{27E4CF07-D791-4C61-BBA7-159524F01BB9}"/>
    <hyperlink ref="A42" r:id="rId42" xr:uid="{41F22F5A-1716-4D81-9C6F-4920AF45B7BF}"/>
    <hyperlink ref="A43" r:id="rId43" xr:uid="{7A5CCFB0-C788-44D9-AC37-34255501F3F8}"/>
    <hyperlink ref="A44" r:id="rId44" xr:uid="{33363B5A-F904-460C-B274-50869E20130D}"/>
    <hyperlink ref="A45" r:id="rId45" xr:uid="{72A98EFF-BB3D-4A10-B536-4A5865251B3C}"/>
    <hyperlink ref="A46" r:id="rId46" xr:uid="{CD305617-B0F4-42CB-AFFE-97A83C945533}"/>
    <hyperlink ref="A47" r:id="rId47" xr:uid="{718E125A-40CF-4E38-99F1-582525A9E7AC}"/>
    <hyperlink ref="A48" r:id="rId48" xr:uid="{DEB48901-F17D-4732-BAA5-84C6073999E6}"/>
    <hyperlink ref="A49" r:id="rId49" xr:uid="{077AB68F-383B-4489-9EFB-174BB356AACC}"/>
    <hyperlink ref="A50" r:id="rId50" xr:uid="{D38950B0-CCBC-454F-8DA1-FB81E0CBC9EF}"/>
    <hyperlink ref="A51" r:id="rId51" xr:uid="{936FDDF7-A27D-48B8-A1F6-2F9BC481DCBD}"/>
    <hyperlink ref="A52" r:id="rId52" xr:uid="{3ABCA786-88A5-4837-B215-506D2D03FE05}"/>
    <hyperlink ref="A53" r:id="rId53" xr:uid="{BB929DCB-8EA3-4C42-997D-48F6AB1925F3}"/>
    <hyperlink ref="A54" r:id="rId54" xr:uid="{AB804C3B-0AEC-4C09-BAAC-706DDA3CB3A1}"/>
    <hyperlink ref="A112" r:id="rId55" xr:uid="{C0E66CF7-24CF-4DE1-9EC1-8A754E23F270}"/>
    <hyperlink ref="A114" r:id="rId56" xr:uid="{5FAF8D95-AF6A-4D55-8DBF-179A51778CA9}"/>
    <hyperlink ref="A116" r:id="rId57" display="PROV. AUTON. TRENTO" xr:uid="{C66BBF17-041A-4943-A712-4EC5B939FAD9}"/>
    <hyperlink ref="A117" r:id="rId58" xr:uid="{6B221BEF-5846-4120-85C2-B87DDD85D6B5}"/>
    <hyperlink ref="A118" r:id="rId59" xr:uid="{8A80B0CA-79B6-46D0-A5B7-F1FCB78DD3D8}"/>
    <hyperlink ref="A119" r:id="rId60" xr:uid="{2A7E4E98-9E46-4D53-AC0E-01389D2E136D}"/>
    <hyperlink ref="A120" r:id="rId61" xr:uid="{A1D28AF5-C2BF-4F84-944E-A26CA81EC0F3}"/>
    <hyperlink ref="A121" r:id="rId62" xr:uid="{17031503-35D1-475D-9AB1-0676691724C5}"/>
    <hyperlink ref="A122" r:id="rId63" xr:uid="{029912B7-83F5-4F26-B09F-89A1CB2C0912}"/>
    <hyperlink ref="A123" r:id="rId64" xr:uid="{22890476-D60F-4F9B-85CE-A9EB2561A0DE}"/>
    <hyperlink ref="A124" r:id="rId65" xr:uid="{1E34D0E7-8D65-4371-A69A-D4AA3DDFE99C}"/>
    <hyperlink ref="A125" r:id="rId66" xr:uid="{80E93802-837D-41C0-BC3C-723CC65B0DDB}"/>
    <hyperlink ref="A126" r:id="rId67" xr:uid="{27BC607B-B274-4F96-9170-E12BF1548836}"/>
    <hyperlink ref="A127" r:id="rId68" xr:uid="{068E94CB-356A-4F1F-98F7-41D6AF49FA53}"/>
    <hyperlink ref="A128" r:id="rId69" xr:uid="{CE18791F-22B5-4C61-A85F-F00448AB7E8E}"/>
    <hyperlink ref="A129" r:id="rId70" xr:uid="{19B856B1-E098-4320-9F8D-3A3B8DD42A49}"/>
    <hyperlink ref="A130" r:id="rId71" xr:uid="{EDD49EA2-DDB7-4614-AE1E-07C75473AE77}"/>
    <hyperlink ref="A131" r:id="rId72" xr:uid="{D41C366E-2701-4497-9C7D-E3D7D07D303B}"/>
  </hyperlinks>
  <pageMargins left="0.7" right="0.7" top="0.75" bottom="0.75" header="0.3" footer="0.3"/>
  <pageSetup paperSize="9" orientation="portrait" verticalDpi="0" r:id="rId7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2"/>
  <sheetViews>
    <sheetView zoomScale="69" zoomScaleNormal="69" workbookViewId="0">
      <selection activeCell="Z7" sqref="Z7"/>
    </sheetView>
  </sheetViews>
  <sheetFormatPr defaultColWidth="8.83203125" defaultRowHeight="14" x14ac:dyDescent="0.3"/>
  <cols>
    <col min="1" max="1" width="15.83203125" customWidth="1"/>
    <col min="2" max="2" width="7.6640625" customWidth="1"/>
    <col min="3" max="9" width="7" bestFit="1" customWidth="1"/>
    <col min="10" max="17" width="6.6640625" customWidth="1"/>
    <col min="18" max="19" width="7" bestFit="1" customWidth="1"/>
    <col min="20" max="23" width="6.6640625" customWidth="1"/>
    <col min="24" max="25" width="7" bestFit="1" customWidth="1"/>
    <col min="26" max="35" width="6.6640625" customWidth="1"/>
  </cols>
  <sheetData>
    <row r="1" spans="1:17" s="88" customFormat="1" ht="50.25" customHeight="1" x14ac:dyDescent="0.3">
      <c r="A1" s="478" t="s">
        <v>253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</row>
    <row r="5" spans="1:17" ht="14.5" thickBot="1" x14ac:dyDescent="0.35"/>
    <row r="6" spans="1:17" x14ac:dyDescent="0.3">
      <c r="A6" s="643" t="s">
        <v>2</v>
      </c>
      <c r="B6" s="645" t="s">
        <v>25</v>
      </c>
      <c r="C6" s="646"/>
      <c r="D6" s="646"/>
      <c r="E6" s="646"/>
      <c r="F6" s="646"/>
      <c r="G6" s="646"/>
      <c r="H6" s="646"/>
      <c r="I6" s="646"/>
      <c r="J6" s="646"/>
      <c r="K6" s="646"/>
      <c r="L6" s="646"/>
      <c r="M6" s="646"/>
      <c r="N6" s="646"/>
      <c r="O6" s="646"/>
      <c r="P6" s="646"/>
      <c r="Q6" s="647"/>
    </row>
    <row r="7" spans="1:17" ht="14" customHeight="1" x14ac:dyDescent="0.3">
      <c r="A7" s="644"/>
      <c r="B7" s="606" t="s">
        <v>28</v>
      </c>
      <c r="C7" s="574"/>
      <c r="D7" s="574" t="s">
        <v>29</v>
      </c>
      <c r="E7" s="574"/>
      <c r="F7" s="574" t="s">
        <v>30</v>
      </c>
      <c r="G7" s="574"/>
      <c r="H7" s="574" t="s">
        <v>31</v>
      </c>
      <c r="I7" s="574"/>
      <c r="J7" s="574" t="s">
        <v>32</v>
      </c>
      <c r="K7" s="574"/>
      <c r="L7" s="574" t="s">
        <v>33</v>
      </c>
      <c r="M7" s="574"/>
      <c r="N7" s="574" t="s">
        <v>34</v>
      </c>
      <c r="O7" s="574"/>
      <c r="P7" s="574" t="s">
        <v>46</v>
      </c>
      <c r="Q7" s="605"/>
    </row>
    <row r="8" spans="1:17" ht="26" x14ac:dyDescent="0.3">
      <c r="A8" s="644"/>
      <c r="B8" s="76" t="s">
        <v>67</v>
      </c>
      <c r="C8" s="72" t="s">
        <v>68</v>
      </c>
      <c r="D8" s="72" t="s">
        <v>67</v>
      </c>
      <c r="E8" s="72" t="s">
        <v>68</v>
      </c>
      <c r="F8" s="72" t="s">
        <v>67</v>
      </c>
      <c r="G8" s="72" t="s">
        <v>68</v>
      </c>
      <c r="H8" s="72" t="s">
        <v>67</v>
      </c>
      <c r="I8" s="72" t="s">
        <v>68</v>
      </c>
      <c r="J8" s="72" t="s">
        <v>67</v>
      </c>
      <c r="K8" s="72" t="s">
        <v>68</v>
      </c>
      <c r="L8" s="72" t="s">
        <v>67</v>
      </c>
      <c r="M8" s="72" t="s">
        <v>68</v>
      </c>
      <c r="N8" s="72" t="s">
        <v>67</v>
      </c>
      <c r="O8" s="72" t="s">
        <v>68</v>
      </c>
      <c r="P8" s="72" t="s">
        <v>67</v>
      </c>
      <c r="Q8" s="73" t="s">
        <v>68</v>
      </c>
    </row>
    <row r="9" spans="1:17" x14ac:dyDescent="0.3">
      <c r="A9" s="74" t="s">
        <v>3</v>
      </c>
      <c r="B9" s="260">
        <v>0.6</v>
      </c>
      <c r="C9" s="261">
        <v>0.7</v>
      </c>
      <c r="D9" s="262">
        <v>0.51724137931034497</v>
      </c>
      <c r="E9" s="262">
        <v>0.58620689655172398</v>
      </c>
      <c r="F9" s="262">
        <v>0.4375</v>
      </c>
      <c r="G9" s="262">
        <v>0.59375</v>
      </c>
      <c r="H9" s="262">
        <v>0.45454545454545497</v>
      </c>
      <c r="I9" s="262">
        <v>0.59090909090909105</v>
      </c>
      <c r="J9" s="262">
        <v>0.40476190476190499</v>
      </c>
      <c r="K9" s="262">
        <v>0.452380952380952</v>
      </c>
      <c r="L9" s="262">
        <v>0.2</v>
      </c>
      <c r="M9" s="262">
        <v>0.4</v>
      </c>
      <c r="N9" s="262">
        <v>0.25</v>
      </c>
      <c r="O9" s="262">
        <v>0.25</v>
      </c>
      <c r="P9" s="263">
        <v>0.41578947368421099</v>
      </c>
      <c r="Q9" s="264">
        <v>0.52631578947368396</v>
      </c>
    </row>
    <row r="10" spans="1:17" x14ac:dyDescent="0.3">
      <c r="A10" s="74" t="s">
        <v>4</v>
      </c>
      <c r="B10" s="260"/>
      <c r="C10" s="261"/>
      <c r="D10" s="262">
        <v>1</v>
      </c>
      <c r="E10" s="262">
        <v>1</v>
      </c>
      <c r="F10" s="262"/>
      <c r="G10" s="262"/>
      <c r="H10" s="262"/>
      <c r="I10" s="262"/>
      <c r="J10" s="262">
        <v>1</v>
      </c>
      <c r="K10" s="262">
        <v>1</v>
      </c>
      <c r="L10" s="262"/>
      <c r="M10" s="262"/>
      <c r="N10" s="262"/>
      <c r="O10" s="262"/>
      <c r="P10" s="263">
        <v>1</v>
      </c>
      <c r="Q10" s="264">
        <v>1</v>
      </c>
    </row>
    <row r="11" spans="1:17" x14ac:dyDescent="0.3">
      <c r="A11" s="74" t="s">
        <v>5</v>
      </c>
      <c r="B11" s="260">
        <v>0.56311881188118795</v>
      </c>
      <c r="C11" s="261">
        <v>0.64480198019802004</v>
      </c>
      <c r="D11" s="262">
        <v>0.5</v>
      </c>
      <c r="E11" s="262">
        <v>0.60093896713615003</v>
      </c>
      <c r="F11" s="262">
        <v>0.47502448579823697</v>
      </c>
      <c r="G11" s="262">
        <v>0.56904995102840406</v>
      </c>
      <c r="H11" s="262">
        <v>0.47153780798640599</v>
      </c>
      <c r="I11" s="262">
        <v>0.57349192863211595</v>
      </c>
      <c r="J11" s="262">
        <v>0.42349457058242801</v>
      </c>
      <c r="K11" s="262">
        <v>0.51036525172754199</v>
      </c>
      <c r="L11" s="262">
        <v>0.31958762886597902</v>
      </c>
      <c r="M11" s="262">
        <v>0.40979381443299001</v>
      </c>
      <c r="N11" s="262">
        <v>0.26717557251908403</v>
      </c>
      <c r="O11" s="262">
        <v>0.36641221374045801</v>
      </c>
      <c r="P11" s="263">
        <v>0.46801925722145798</v>
      </c>
      <c r="Q11" s="264">
        <v>0.56207015130673998</v>
      </c>
    </row>
    <row r="12" spans="1:17" x14ac:dyDescent="0.3">
      <c r="A12" s="74" t="s">
        <v>23</v>
      </c>
      <c r="B12" s="260">
        <v>0.75</v>
      </c>
      <c r="C12" s="261">
        <v>0.83333333333333304</v>
      </c>
      <c r="D12" s="262">
        <v>0.83333333333333304</v>
      </c>
      <c r="E12" s="262">
        <v>0.83333333333333304</v>
      </c>
      <c r="F12" s="262">
        <v>0.8</v>
      </c>
      <c r="G12" s="262">
        <v>1</v>
      </c>
      <c r="H12" s="262">
        <v>0.7</v>
      </c>
      <c r="I12" s="262">
        <v>0.8</v>
      </c>
      <c r="J12" s="262">
        <v>0.88235294117647101</v>
      </c>
      <c r="K12" s="262">
        <v>0.94117647058823495</v>
      </c>
      <c r="L12" s="262">
        <v>0.875</v>
      </c>
      <c r="M12" s="262">
        <v>1</v>
      </c>
      <c r="N12" s="262">
        <v>0.66666666666666696</v>
      </c>
      <c r="O12" s="262">
        <v>0.66666666666666696</v>
      </c>
      <c r="P12" s="263">
        <v>0.79569892473118298</v>
      </c>
      <c r="Q12" s="264">
        <v>0.88172043010752699</v>
      </c>
    </row>
    <row r="13" spans="1:17" x14ac:dyDescent="0.3">
      <c r="A13" s="74" t="s">
        <v>24</v>
      </c>
      <c r="B13" s="260">
        <v>0.42857142857142899</v>
      </c>
      <c r="C13" s="261">
        <v>0.42857142857142899</v>
      </c>
      <c r="D13" s="262">
        <v>0.33333333333333298</v>
      </c>
      <c r="E13" s="262">
        <v>0.33333333333333298</v>
      </c>
      <c r="F13" s="262">
        <v>0.25</v>
      </c>
      <c r="G13" s="262">
        <v>0.25</v>
      </c>
      <c r="H13" s="262">
        <v>0.5</v>
      </c>
      <c r="I13" s="262">
        <v>0.6</v>
      </c>
      <c r="J13" s="262">
        <v>0.16666666666666699</v>
      </c>
      <c r="K13" s="262">
        <v>0.16666666666666699</v>
      </c>
      <c r="L13" s="262"/>
      <c r="M13" s="262"/>
      <c r="N13" s="262"/>
      <c r="O13" s="262"/>
      <c r="P13" s="263">
        <v>0.35</v>
      </c>
      <c r="Q13" s="264">
        <v>0.375</v>
      </c>
    </row>
    <row r="14" spans="1:17" x14ac:dyDescent="0.3">
      <c r="A14" s="74" t="s">
        <v>6</v>
      </c>
      <c r="B14" s="260">
        <v>0.32765957446808502</v>
      </c>
      <c r="C14" s="261">
        <v>0.4</v>
      </c>
      <c r="D14" s="262">
        <v>0.41428571428571398</v>
      </c>
      <c r="E14" s="262">
        <v>0.5</v>
      </c>
      <c r="F14" s="262">
        <v>0.39465875370919901</v>
      </c>
      <c r="G14" s="262">
        <v>0.45400593471810102</v>
      </c>
      <c r="H14" s="262">
        <v>0.40920716112532002</v>
      </c>
      <c r="I14" s="262">
        <v>0.485933503836317</v>
      </c>
      <c r="J14" s="262">
        <v>0.43511450381679401</v>
      </c>
      <c r="K14" s="262">
        <v>0.50381679389313005</v>
      </c>
      <c r="L14" s="262">
        <v>0.338028169014085</v>
      </c>
      <c r="M14" s="262">
        <v>0.40140845070422498</v>
      </c>
      <c r="N14" s="262">
        <v>0.328125</v>
      </c>
      <c r="O14" s="262">
        <v>0.390625</v>
      </c>
      <c r="P14" s="263">
        <v>0.39487447698744799</v>
      </c>
      <c r="Q14" s="264">
        <v>0.46652719665272002</v>
      </c>
    </row>
    <row r="15" spans="1:17" ht="25" x14ac:dyDescent="0.3">
      <c r="A15" s="74" t="s">
        <v>22</v>
      </c>
      <c r="B15" s="260"/>
      <c r="C15" s="261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3"/>
      <c r="Q15" s="264"/>
    </row>
    <row r="16" spans="1:17" x14ac:dyDescent="0.3">
      <c r="A16" s="74" t="s">
        <v>7</v>
      </c>
      <c r="B16" s="260">
        <v>0.38095238095238099</v>
      </c>
      <c r="C16" s="261">
        <v>0.41269841269841301</v>
      </c>
      <c r="D16" s="262">
        <v>0.28846153846153799</v>
      </c>
      <c r="E16" s="262">
        <v>0.32692307692307698</v>
      </c>
      <c r="F16" s="262">
        <v>0.28395061728395099</v>
      </c>
      <c r="G16" s="262">
        <v>0.33333333333333298</v>
      </c>
      <c r="H16" s="262">
        <v>0.35398230088495602</v>
      </c>
      <c r="I16" s="262">
        <v>0.44247787610619499</v>
      </c>
      <c r="J16" s="262">
        <v>0.29508196721311503</v>
      </c>
      <c r="K16" s="262">
        <v>0.32786885245901598</v>
      </c>
      <c r="L16" s="262">
        <v>0.22222222222222199</v>
      </c>
      <c r="M16" s="262">
        <v>0.238095238095238</v>
      </c>
      <c r="N16" s="262">
        <v>0.16666666666666699</v>
      </c>
      <c r="O16" s="262">
        <v>0.16666666666666699</v>
      </c>
      <c r="P16" s="263">
        <v>0.30141843971631199</v>
      </c>
      <c r="Q16" s="264">
        <v>0.34574468085106402</v>
      </c>
    </row>
    <row r="17" spans="1:17" x14ac:dyDescent="0.3">
      <c r="A17" s="74" t="s">
        <v>8</v>
      </c>
      <c r="B17" s="260">
        <v>0.50505050505050497</v>
      </c>
      <c r="C17" s="261">
        <v>0.56565656565656597</v>
      </c>
      <c r="D17" s="262">
        <v>0.42700729927007303</v>
      </c>
      <c r="E17" s="262">
        <v>0.48905109489051102</v>
      </c>
      <c r="F17" s="262">
        <v>0.356521739130435</v>
      </c>
      <c r="G17" s="262">
        <v>0.41304347826087001</v>
      </c>
      <c r="H17" s="262">
        <v>0.37135278514588899</v>
      </c>
      <c r="I17" s="262">
        <v>0.44827586206896602</v>
      </c>
      <c r="J17" s="262">
        <v>0.33175355450236999</v>
      </c>
      <c r="K17" s="262">
        <v>0.37914691943127998</v>
      </c>
      <c r="L17" s="262">
        <v>0.284810126582279</v>
      </c>
      <c r="M17" s="262">
        <v>0.335443037974684</v>
      </c>
      <c r="N17" s="262">
        <v>0.42424242424242398</v>
      </c>
      <c r="O17" s="262">
        <v>0.48484848484848497</v>
      </c>
      <c r="P17" s="263">
        <v>0.36911487758945399</v>
      </c>
      <c r="Q17" s="264">
        <v>0.428750784682988</v>
      </c>
    </row>
    <row r="18" spans="1:17" x14ac:dyDescent="0.3">
      <c r="A18" s="74" t="s">
        <v>9</v>
      </c>
      <c r="B18" s="260">
        <v>0.20308483290488399</v>
      </c>
      <c r="C18" s="261">
        <v>0.21850899742930599</v>
      </c>
      <c r="D18" s="262">
        <v>0.242957746478873</v>
      </c>
      <c r="E18" s="262">
        <v>0.27112676056337998</v>
      </c>
      <c r="F18" s="262">
        <v>0.22505800464037101</v>
      </c>
      <c r="G18" s="262">
        <v>0.248259860788863</v>
      </c>
      <c r="H18" s="262">
        <v>0.28388278388278398</v>
      </c>
      <c r="I18" s="262">
        <v>0.32417582417582402</v>
      </c>
      <c r="J18" s="262">
        <v>0.270509977827051</v>
      </c>
      <c r="K18" s="262">
        <v>0.30155210643015501</v>
      </c>
      <c r="L18" s="262">
        <v>0.27513227513227501</v>
      </c>
      <c r="M18" s="262">
        <v>0.29100529100529099</v>
      </c>
      <c r="N18" s="262">
        <v>9.0909090909090898E-2</v>
      </c>
      <c r="O18" s="262">
        <v>0.11111111111111099</v>
      </c>
      <c r="P18" s="263">
        <v>0.243920688365133</v>
      </c>
      <c r="Q18" s="264">
        <v>0.271230826786382</v>
      </c>
    </row>
    <row r="19" spans="1:17" x14ac:dyDescent="0.3">
      <c r="A19" s="74" t="s">
        <v>10</v>
      </c>
      <c r="B19" s="260">
        <v>0.75</v>
      </c>
      <c r="C19" s="261">
        <v>0.75</v>
      </c>
      <c r="D19" s="262">
        <v>0.66666666666666696</v>
      </c>
      <c r="E19" s="262">
        <v>0.66666666666666696</v>
      </c>
      <c r="F19" s="262">
        <v>0.70588235294117696</v>
      </c>
      <c r="G19" s="262">
        <v>0.76470588235294101</v>
      </c>
      <c r="H19" s="262">
        <v>0.39130434782608697</v>
      </c>
      <c r="I19" s="262">
        <v>0.565217391304348</v>
      </c>
      <c r="J19" s="262">
        <v>0.4375</v>
      </c>
      <c r="K19" s="262">
        <v>0.4375</v>
      </c>
      <c r="L19" s="262">
        <v>0.42857142857142899</v>
      </c>
      <c r="M19" s="262">
        <v>0.42857142857142899</v>
      </c>
      <c r="N19" s="262"/>
      <c r="O19" s="262"/>
      <c r="P19" s="263">
        <v>0.55208333333333304</v>
      </c>
      <c r="Q19" s="264">
        <v>0.60416666666666696</v>
      </c>
    </row>
    <row r="20" spans="1:17" x14ac:dyDescent="0.3">
      <c r="A20" s="74" t="s">
        <v>11</v>
      </c>
      <c r="B20" s="260">
        <v>0.56097560975609795</v>
      </c>
      <c r="C20" s="261">
        <v>0.68292682926829296</v>
      </c>
      <c r="D20" s="262">
        <v>0.54794520547945202</v>
      </c>
      <c r="E20" s="262">
        <v>0.63013698630137005</v>
      </c>
      <c r="F20" s="262">
        <v>0.47368421052631599</v>
      </c>
      <c r="G20" s="262">
        <v>0.5</v>
      </c>
      <c r="H20" s="262">
        <v>0.45588235294117702</v>
      </c>
      <c r="I20" s="262">
        <v>0.58823529411764697</v>
      </c>
      <c r="J20" s="262">
        <v>0.52542372881355903</v>
      </c>
      <c r="K20" s="262">
        <v>0.59322033898305104</v>
      </c>
      <c r="L20" s="262">
        <v>0.476190476190476</v>
      </c>
      <c r="M20" s="262">
        <v>0.71428571428571397</v>
      </c>
      <c r="N20" s="262">
        <v>0.11764705882352899</v>
      </c>
      <c r="O20" s="262">
        <v>0.11764705882352899</v>
      </c>
      <c r="P20" s="263">
        <v>0.48732394366197201</v>
      </c>
      <c r="Q20" s="264">
        <v>0.57464788732394401</v>
      </c>
    </row>
    <row r="21" spans="1:17" x14ac:dyDescent="0.3">
      <c r="A21" s="74" t="s">
        <v>12</v>
      </c>
      <c r="B21" s="260">
        <v>0.114864864864865</v>
      </c>
      <c r="C21" s="261">
        <v>0.135135135135135</v>
      </c>
      <c r="D21" s="262">
        <v>0.13240418118466901</v>
      </c>
      <c r="E21" s="262">
        <v>0.15331010452961699</v>
      </c>
      <c r="F21" s="262">
        <v>0.14925373134328401</v>
      </c>
      <c r="G21" s="262">
        <v>0.17910447761194001</v>
      </c>
      <c r="H21" s="262">
        <v>0.159891598915989</v>
      </c>
      <c r="I21" s="262">
        <v>0.19512195121951201</v>
      </c>
      <c r="J21" s="262">
        <v>0.15151515151515199</v>
      </c>
      <c r="K21" s="262">
        <v>0.18181818181818199</v>
      </c>
      <c r="L21" s="262">
        <v>0.214285714285714</v>
      </c>
      <c r="M21" s="262">
        <v>0.23214285714285701</v>
      </c>
      <c r="N21" s="262">
        <v>4.5454545454545497E-2</v>
      </c>
      <c r="O21" s="262">
        <v>9.0909090909090898E-2</v>
      </c>
      <c r="P21" s="263">
        <v>0.14908854166666699</v>
      </c>
      <c r="Q21" s="264">
        <v>0.17708333333333301</v>
      </c>
    </row>
    <row r="22" spans="1:17" x14ac:dyDescent="0.3">
      <c r="A22" s="74" t="s">
        <v>13</v>
      </c>
      <c r="B22" s="260"/>
      <c r="C22" s="261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3"/>
      <c r="Q22" s="264"/>
    </row>
    <row r="23" spans="1:17" x14ac:dyDescent="0.3">
      <c r="A23" s="74" t="s">
        <v>14</v>
      </c>
      <c r="B23" s="260"/>
      <c r="C23" s="261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3"/>
      <c r="Q23" s="264"/>
    </row>
    <row r="24" spans="1:17" x14ac:dyDescent="0.3">
      <c r="A24" s="74" t="s">
        <v>15</v>
      </c>
      <c r="B24" s="260">
        <v>0.52830188679245305</v>
      </c>
      <c r="C24" s="261">
        <v>0.62264150943396201</v>
      </c>
      <c r="D24" s="262">
        <v>0.36363636363636398</v>
      </c>
      <c r="E24" s="262">
        <v>0.48484848484848497</v>
      </c>
      <c r="F24" s="262">
        <v>0.36206896551724099</v>
      </c>
      <c r="G24" s="262">
        <v>0.47413793103448298</v>
      </c>
      <c r="H24" s="262">
        <v>0.43046357615893999</v>
      </c>
      <c r="I24" s="262">
        <v>0.54966887417218502</v>
      </c>
      <c r="J24" s="262">
        <v>0.291139240506329</v>
      </c>
      <c r="K24" s="262">
        <v>0.443037974683544</v>
      </c>
      <c r="L24" s="262">
        <v>0.125</v>
      </c>
      <c r="M24" s="262">
        <v>0.25</v>
      </c>
      <c r="N24" s="262"/>
      <c r="O24" s="262"/>
      <c r="P24" s="263">
        <v>0.37984496124030998</v>
      </c>
      <c r="Q24" s="264">
        <v>0.5</v>
      </c>
    </row>
    <row r="25" spans="1:17" x14ac:dyDescent="0.3">
      <c r="A25" s="74" t="s">
        <v>16</v>
      </c>
      <c r="B25" s="260">
        <v>0.3125</v>
      </c>
      <c r="C25" s="261">
        <v>0.4375</v>
      </c>
      <c r="D25" s="262">
        <v>0.50847457627118597</v>
      </c>
      <c r="E25" s="262">
        <v>0.59322033898305104</v>
      </c>
      <c r="F25" s="262">
        <v>0.58490566037735903</v>
      </c>
      <c r="G25" s="262">
        <v>0.660377358490566</v>
      </c>
      <c r="H25" s="262">
        <v>0.44578313253011997</v>
      </c>
      <c r="I25" s="262">
        <v>0.50602409638554202</v>
      </c>
      <c r="J25" s="262">
        <v>0.37288135593220301</v>
      </c>
      <c r="K25" s="262">
        <v>0.47457627118644102</v>
      </c>
      <c r="L25" s="262">
        <v>0.53333333333333299</v>
      </c>
      <c r="M25" s="262">
        <v>0.53333333333333299</v>
      </c>
      <c r="N25" s="262"/>
      <c r="O25" s="262"/>
      <c r="P25" s="263">
        <v>0.465034965034965</v>
      </c>
      <c r="Q25" s="264">
        <v>0.54195804195804198</v>
      </c>
    </row>
    <row r="26" spans="1:17" x14ac:dyDescent="0.3">
      <c r="A26" s="74" t="s">
        <v>17</v>
      </c>
      <c r="B26" s="260"/>
      <c r="C26" s="261"/>
      <c r="D26" s="262"/>
      <c r="E26" s="262"/>
      <c r="F26" s="262">
        <v>0.5</v>
      </c>
      <c r="G26" s="262">
        <v>0.5</v>
      </c>
      <c r="H26" s="262">
        <v>0.25</v>
      </c>
      <c r="I26" s="262">
        <v>0.5</v>
      </c>
      <c r="J26" s="262">
        <v>0.25</v>
      </c>
      <c r="K26" s="262">
        <v>0.25</v>
      </c>
      <c r="L26" s="262">
        <v>0.16666666666666699</v>
      </c>
      <c r="M26" s="262">
        <v>0.16666666666666699</v>
      </c>
      <c r="N26" s="262"/>
      <c r="O26" s="262"/>
      <c r="P26" s="263">
        <v>0.21052631578947401</v>
      </c>
      <c r="Q26" s="264">
        <v>0.26315789473684198</v>
      </c>
    </row>
    <row r="27" spans="1:17" x14ac:dyDescent="0.3">
      <c r="A27" s="74" t="s">
        <v>18</v>
      </c>
      <c r="B27" s="260">
        <v>1</v>
      </c>
      <c r="C27" s="261">
        <v>1</v>
      </c>
      <c r="D27" s="262">
        <v>0.75</v>
      </c>
      <c r="E27" s="262">
        <v>0.75</v>
      </c>
      <c r="F27" s="262">
        <v>0.71428571428571397</v>
      </c>
      <c r="G27" s="262">
        <v>0.71428571428571397</v>
      </c>
      <c r="H27" s="262">
        <v>0.76923076923076905</v>
      </c>
      <c r="I27" s="262">
        <v>0.76923076923076905</v>
      </c>
      <c r="J27" s="262">
        <v>0.625</v>
      </c>
      <c r="K27" s="262">
        <v>0.875</v>
      </c>
      <c r="L27" s="262">
        <v>1</v>
      </c>
      <c r="M27" s="262">
        <v>1</v>
      </c>
      <c r="N27" s="262"/>
      <c r="O27" s="262"/>
      <c r="P27" s="263">
        <v>0.74285714285714299</v>
      </c>
      <c r="Q27" s="264">
        <v>0.8</v>
      </c>
    </row>
    <row r="28" spans="1:17" x14ac:dyDescent="0.3">
      <c r="A28" s="74" t="s">
        <v>19</v>
      </c>
      <c r="B28" s="260">
        <v>0.5</v>
      </c>
      <c r="C28" s="261">
        <v>0.57142857142857095</v>
      </c>
      <c r="D28" s="262">
        <v>0.32520325203251998</v>
      </c>
      <c r="E28" s="262">
        <v>0.40650406504065001</v>
      </c>
      <c r="F28" s="262">
        <v>0.25688073394495398</v>
      </c>
      <c r="G28" s="262">
        <v>0.36697247706421998</v>
      </c>
      <c r="H28" s="262">
        <v>0.31</v>
      </c>
      <c r="I28" s="262">
        <v>0.45</v>
      </c>
      <c r="J28" s="262">
        <v>0.232876712328767</v>
      </c>
      <c r="K28" s="262">
        <v>0.301369863013699</v>
      </c>
      <c r="L28" s="262">
        <v>0.28571428571428598</v>
      </c>
      <c r="M28" s="262">
        <v>0.52380952380952395</v>
      </c>
      <c r="N28" s="262">
        <v>0.2</v>
      </c>
      <c r="O28" s="262">
        <v>0.4</v>
      </c>
      <c r="P28" s="263">
        <v>0.29847494553376902</v>
      </c>
      <c r="Q28" s="264">
        <v>0.40522875816993498</v>
      </c>
    </row>
    <row r="29" spans="1:17" x14ac:dyDescent="0.3">
      <c r="A29" s="74" t="s">
        <v>20</v>
      </c>
      <c r="B29" s="265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7"/>
      <c r="Q29" s="268"/>
    </row>
    <row r="30" spans="1:17" ht="14.5" thickBot="1" x14ac:dyDescent="0.35">
      <c r="A30" s="75" t="s">
        <v>1</v>
      </c>
      <c r="B30" s="269">
        <v>0.41553701772679902</v>
      </c>
      <c r="C30" s="270">
        <v>0.47601668404588099</v>
      </c>
      <c r="D30" s="270">
        <v>0.39570087798970599</v>
      </c>
      <c r="E30" s="270">
        <v>0.46745382985165002</v>
      </c>
      <c r="F30" s="270">
        <v>0.37227581279028199</v>
      </c>
      <c r="G30" s="270">
        <v>0.44051446945337602</v>
      </c>
      <c r="H30" s="270">
        <v>0.38177128116939002</v>
      </c>
      <c r="I30" s="270">
        <v>0.46316996274004002</v>
      </c>
      <c r="J30" s="270">
        <v>0.35153473344103398</v>
      </c>
      <c r="K30" s="270">
        <v>0.41453957996768998</v>
      </c>
      <c r="L30" s="270">
        <v>0.29897785349233402</v>
      </c>
      <c r="M30" s="270">
        <v>0.363713798977854</v>
      </c>
      <c r="N30" s="270">
        <v>0.22113022113022099</v>
      </c>
      <c r="O30" s="270">
        <v>0.27764127764127799</v>
      </c>
      <c r="P30" s="270">
        <v>0.37114612295335198</v>
      </c>
      <c r="Q30" s="271">
        <v>0.44046957059005298</v>
      </c>
    </row>
    <row r="31" spans="1:17" ht="14.5" thickBot="1" x14ac:dyDescent="0.35"/>
    <row r="32" spans="1:17" ht="14" customHeight="1" x14ac:dyDescent="0.3">
      <c r="A32" s="643" t="s">
        <v>2</v>
      </c>
      <c r="B32" s="645" t="s">
        <v>26</v>
      </c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46"/>
      <c r="P32" s="646"/>
      <c r="Q32" s="647"/>
    </row>
    <row r="33" spans="1:17" ht="14" customHeight="1" x14ac:dyDescent="0.3">
      <c r="A33" s="644"/>
      <c r="B33" s="606" t="s">
        <v>28</v>
      </c>
      <c r="C33" s="574"/>
      <c r="D33" s="574" t="s">
        <v>29</v>
      </c>
      <c r="E33" s="574"/>
      <c r="F33" s="574" t="s">
        <v>30</v>
      </c>
      <c r="G33" s="574"/>
      <c r="H33" s="574" t="s">
        <v>31</v>
      </c>
      <c r="I33" s="574"/>
      <c r="J33" s="574" t="s">
        <v>32</v>
      </c>
      <c r="K33" s="574"/>
      <c r="L33" s="574" t="s">
        <v>33</v>
      </c>
      <c r="M33" s="574"/>
      <c r="N33" s="574" t="s">
        <v>34</v>
      </c>
      <c r="O33" s="574"/>
      <c r="P33" s="574" t="s">
        <v>47</v>
      </c>
      <c r="Q33" s="605"/>
    </row>
    <row r="34" spans="1:17" ht="26" x14ac:dyDescent="0.3">
      <c r="A34" s="644"/>
      <c r="B34" s="76" t="s">
        <v>67</v>
      </c>
      <c r="C34" s="72" t="s">
        <v>68</v>
      </c>
      <c r="D34" s="72" t="s">
        <v>67</v>
      </c>
      <c r="E34" s="72" t="s">
        <v>68</v>
      </c>
      <c r="F34" s="72" t="s">
        <v>67</v>
      </c>
      <c r="G34" s="72" t="s">
        <v>68</v>
      </c>
      <c r="H34" s="72" t="s">
        <v>67</v>
      </c>
      <c r="I34" s="72" t="s">
        <v>68</v>
      </c>
      <c r="J34" s="72" t="s">
        <v>67</v>
      </c>
      <c r="K34" s="72" t="s">
        <v>68</v>
      </c>
      <c r="L34" s="72" t="s">
        <v>67</v>
      </c>
      <c r="M34" s="72" t="s">
        <v>68</v>
      </c>
      <c r="N34" s="72" t="s">
        <v>67</v>
      </c>
      <c r="O34" s="72" t="s">
        <v>68</v>
      </c>
      <c r="P34" s="72" t="s">
        <v>67</v>
      </c>
      <c r="Q34" s="73" t="s">
        <v>68</v>
      </c>
    </row>
    <row r="35" spans="1:17" x14ac:dyDescent="0.3">
      <c r="A35" s="74" t="s">
        <v>3</v>
      </c>
      <c r="B35" s="260">
        <v>0.83333333333333304</v>
      </c>
      <c r="C35" s="261">
        <v>0.83333333333333304</v>
      </c>
      <c r="D35" s="262">
        <v>0.5</v>
      </c>
      <c r="E35" s="262">
        <v>0.5</v>
      </c>
      <c r="F35" s="262">
        <v>0.230769230769231</v>
      </c>
      <c r="G35" s="262">
        <v>0.38461538461538503</v>
      </c>
      <c r="H35" s="262">
        <v>0.625</v>
      </c>
      <c r="I35" s="262">
        <v>0.6875</v>
      </c>
      <c r="J35" s="262">
        <v>0.6</v>
      </c>
      <c r="K35" s="262">
        <v>0.66666666666666696</v>
      </c>
      <c r="L35" s="262">
        <v>0.2</v>
      </c>
      <c r="M35" s="262">
        <v>0.2</v>
      </c>
      <c r="N35" s="262"/>
      <c r="O35" s="262"/>
      <c r="P35" s="263">
        <v>0.473118279569893</v>
      </c>
      <c r="Q35" s="264">
        <v>0.51612903225806495</v>
      </c>
    </row>
    <row r="36" spans="1:17" x14ac:dyDescent="0.3">
      <c r="A36" s="74" t="s">
        <v>4</v>
      </c>
      <c r="B36" s="260"/>
      <c r="C36" s="261"/>
      <c r="D36" s="262">
        <v>0.5</v>
      </c>
      <c r="E36" s="262">
        <v>0.5</v>
      </c>
      <c r="F36" s="262">
        <v>1</v>
      </c>
      <c r="G36" s="262">
        <v>1</v>
      </c>
      <c r="H36" s="262"/>
      <c r="I36" s="262"/>
      <c r="J36" s="262"/>
      <c r="K36" s="262"/>
      <c r="L36" s="262">
        <v>0.5</v>
      </c>
      <c r="M36" s="262">
        <v>0.5</v>
      </c>
      <c r="N36" s="262"/>
      <c r="O36" s="262"/>
      <c r="P36" s="263">
        <v>0.42857142857142899</v>
      </c>
      <c r="Q36" s="264">
        <v>0.42857142857142899</v>
      </c>
    </row>
    <row r="37" spans="1:17" x14ac:dyDescent="0.3">
      <c r="A37" s="74" t="s">
        <v>5</v>
      </c>
      <c r="B37" s="260">
        <v>0.63663075416258597</v>
      </c>
      <c r="C37" s="261">
        <v>0.69931439764936298</v>
      </c>
      <c r="D37" s="262">
        <v>0.52985074626865702</v>
      </c>
      <c r="E37" s="262">
        <v>0.64285714285714302</v>
      </c>
      <c r="F37" s="262">
        <v>0.49032258064516099</v>
      </c>
      <c r="G37" s="262">
        <v>0.60774193548387101</v>
      </c>
      <c r="H37" s="262">
        <v>0.51050228310502299</v>
      </c>
      <c r="I37" s="262">
        <v>0.62922374429223804</v>
      </c>
      <c r="J37" s="262">
        <v>0.477787851314597</v>
      </c>
      <c r="K37" s="262">
        <v>0.59383499546690799</v>
      </c>
      <c r="L37" s="262">
        <v>0.43346774193548399</v>
      </c>
      <c r="M37" s="262">
        <v>0.51814516129032295</v>
      </c>
      <c r="N37" s="262">
        <v>0.309859154929577</v>
      </c>
      <c r="O37" s="262">
        <v>0.38497652582159603</v>
      </c>
      <c r="P37" s="263">
        <v>0.51302960468002101</v>
      </c>
      <c r="Q37" s="264">
        <v>0.61531643325651497</v>
      </c>
    </row>
    <row r="38" spans="1:17" x14ac:dyDescent="0.3">
      <c r="A38" s="74" t="s">
        <v>23</v>
      </c>
      <c r="B38" s="260">
        <v>0.75</v>
      </c>
      <c r="C38" s="261">
        <v>0.875</v>
      </c>
      <c r="D38" s="262">
        <v>0.78571428571428603</v>
      </c>
      <c r="E38" s="262">
        <v>0.92857142857142905</v>
      </c>
      <c r="F38" s="262">
        <v>0.875</v>
      </c>
      <c r="G38" s="262">
        <v>1</v>
      </c>
      <c r="H38" s="262">
        <v>1</v>
      </c>
      <c r="I38" s="262">
        <v>1</v>
      </c>
      <c r="J38" s="262">
        <v>0.82352941176470595</v>
      </c>
      <c r="K38" s="262">
        <v>0.88235294117647101</v>
      </c>
      <c r="L38" s="262">
        <v>0.69230769230769196</v>
      </c>
      <c r="M38" s="262">
        <v>0.69230769230769196</v>
      </c>
      <c r="N38" s="262">
        <v>0.66666666666666696</v>
      </c>
      <c r="O38" s="262">
        <v>0.66666666666666696</v>
      </c>
      <c r="P38" s="263">
        <v>0.8125</v>
      </c>
      <c r="Q38" s="264">
        <v>0.875</v>
      </c>
    </row>
    <row r="39" spans="1:17" x14ac:dyDescent="0.3">
      <c r="A39" s="74" t="s">
        <v>24</v>
      </c>
      <c r="B39" s="260">
        <v>0.5</v>
      </c>
      <c r="C39" s="261">
        <v>0.7</v>
      </c>
      <c r="D39" s="262">
        <v>0.2</v>
      </c>
      <c r="E39" s="262">
        <v>0.2</v>
      </c>
      <c r="F39" s="262">
        <v>0.16666666666666699</v>
      </c>
      <c r="G39" s="262">
        <v>0.16666666666666699</v>
      </c>
      <c r="H39" s="262">
        <v>0.42857142857142899</v>
      </c>
      <c r="I39" s="262">
        <v>0.42857142857142899</v>
      </c>
      <c r="J39" s="262">
        <v>0.5</v>
      </c>
      <c r="K39" s="262">
        <v>0.5</v>
      </c>
      <c r="L39" s="262"/>
      <c r="M39" s="262"/>
      <c r="N39" s="262"/>
      <c r="O39" s="262"/>
      <c r="P39" s="263">
        <v>0.36666666666666697</v>
      </c>
      <c r="Q39" s="264">
        <v>0.43333333333333302</v>
      </c>
    </row>
    <row r="40" spans="1:17" x14ac:dyDescent="0.3">
      <c r="A40" s="74" t="s">
        <v>6</v>
      </c>
      <c r="B40" s="260">
        <v>0.45820433436532498</v>
      </c>
      <c r="C40" s="261">
        <v>0.48916408668730699</v>
      </c>
      <c r="D40" s="262">
        <v>0.43564356435643597</v>
      </c>
      <c r="E40" s="262">
        <v>0.475247524752475</v>
      </c>
      <c r="F40" s="262">
        <v>0.427385892116183</v>
      </c>
      <c r="G40" s="262">
        <v>0.50207468879668105</v>
      </c>
      <c r="H40" s="262">
        <v>0.44102564102564101</v>
      </c>
      <c r="I40" s="262">
        <v>0.54358974358974399</v>
      </c>
      <c r="J40" s="262">
        <v>0.44761904761904803</v>
      </c>
      <c r="K40" s="262">
        <v>0.50952380952381005</v>
      </c>
      <c r="L40" s="262">
        <v>0.33177570093457898</v>
      </c>
      <c r="M40" s="262">
        <v>0.40654205607476601</v>
      </c>
      <c r="N40" s="262">
        <v>0.3125</v>
      </c>
      <c r="O40" s="262">
        <v>0.375</v>
      </c>
      <c r="P40" s="263">
        <v>0.42567224759005601</v>
      </c>
      <c r="Q40" s="264">
        <v>0.49010654490106498</v>
      </c>
    </row>
    <row r="41" spans="1:17" ht="25" x14ac:dyDescent="0.3">
      <c r="A41" s="74" t="s">
        <v>22</v>
      </c>
      <c r="B41" s="260"/>
      <c r="C41" s="261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3"/>
      <c r="Q41" s="264"/>
    </row>
    <row r="42" spans="1:17" x14ac:dyDescent="0.3">
      <c r="A42" s="74" t="s">
        <v>7</v>
      </c>
      <c r="B42" s="260">
        <v>0.35</v>
      </c>
      <c r="C42" s="261">
        <v>0.41249999999999998</v>
      </c>
      <c r="D42" s="262">
        <v>0.35227272727272702</v>
      </c>
      <c r="E42" s="262">
        <v>0.40909090909090901</v>
      </c>
      <c r="F42" s="262">
        <v>0.33870967741935498</v>
      </c>
      <c r="G42" s="262">
        <v>0.37096774193548399</v>
      </c>
      <c r="H42" s="262">
        <v>0.45555555555555599</v>
      </c>
      <c r="I42" s="262">
        <v>0.52222222222222203</v>
      </c>
      <c r="J42" s="262">
        <v>0.28813559322033899</v>
      </c>
      <c r="K42" s="262">
        <v>0.38983050847457601</v>
      </c>
      <c r="L42" s="262">
        <v>0.265822784810127</v>
      </c>
      <c r="M42" s="262">
        <v>0.367088607594937</v>
      </c>
      <c r="N42" s="262">
        <v>0.11363636363636399</v>
      </c>
      <c r="O42" s="262">
        <v>0.13636363636363599</v>
      </c>
      <c r="P42" s="263">
        <v>0.32263814616755798</v>
      </c>
      <c r="Q42" s="264">
        <v>0.39215686274509798</v>
      </c>
    </row>
    <row r="43" spans="1:17" x14ac:dyDescent="0.3">
      <c r="A43" s="74" t="s">
        <v>8</v>
      </c>
      <c r="B43" s="260">
        <v>0.64935064935064901</v>
      </c>
      <c r="C43" s="261">
        <v>0.70129870129870098</v>
      </c>
      <c r="D43" s="262">
        <v>0.60740740740740695</v>
      </c>
      <c r="E43" s="262">
        <v>0.68888888888888899</v>
      </c>
      <c r="F43" s="262">
        <v>0.58536585365853699</v>
      </c>
      <c r="G43" s="262">
        <v>0.66463414634146301</v>
      </c>
      <c r="H43" s="262">
        <v>0.54512635379061403</v>
      </c>
      <c r="I43" s="262">
        <v>0.64259927797833905</v>
      </c>
      <c r="J43" s="262">
        <v>0.422764227642276</v>
      </c>
      <c r="K43" s="262">
        <v>0.50406504065040703</v>
      </c>
      <c r="L43" s="262">
        <v>0.45762711864406802</v>
      </c>
      <c r="M43" s="262">
        <v>0.55367231638418102</v>
      </c>
      <c r="N43" s="262">
        <v>0.48148148148148101</v>
      </c>
      <c r="O43" s="262">
        <v>0.55555555555555602</v>
      </c>
      <c r="P43" s="263">
        <v>0.52030075187969904</v>
      </c>
      <c r="Q43" s="264">
        <v>0.60300751879699199</v>
      </c>
    </row>
    <row r="44" spans="1:17" x14ac:dyDescent="0.3">
      <c r="A44" s="74" t="s">
        <v>9</v>
      </c>
      <c r="B44" s="260">
        <v>0.24334600760456301</v>
      </c>
      <c r="C44" s="261">
        <v>0.262357414448669</v>
      </c>
      <c r="D44" s="262">
        <v>0.24489795918367299</v>
      </c>
      <c r="E44" s="262">
        <v>0.28117913832199498</v>
      </c>
      <c r="F44" s="262">
        <v>0.24390243902438999</v>
      </c>
      <c r="G44" s="262">
        <v>0.27272727272727298</v>
      </c>
      <c r="H44" s="262">
        <v>0.272380952380952</v>
      </c>
      <c r="I44" s="262">
        <v>0.30666666666666698</v>
      </c>
      <c r="J44" s="262">
        <v>0.26627218934911201</v>
      </c>
      <c r="K44" s="262">
        <v>0.291913214990138</v>
      </c>
      <c r="L44" s="262">
        <v>0.290697674418605</v>
      </c>
      <c r="M44" s="262">
        <v>0.31782945736434098</v>
      </c>
      <c r="N44" s="262">
        <v>0.139130434782609</v>
      </c>
      <c r="O44" s="262">
        <v>0.15652173913043499</v>
      </c>
      <c r="P44" s="263">
        <v>0.25327665603967398</v>
      </c>
      <c r="Q44" s="264">
        <v>0.28126106978391802</v>
      </c>
    </row>
    <row r="45" spans="1:17" x14ac:dyDescent="0.3">
      <c r="A45" s="74" t="s">
        <v>10</v>
      </c>
      <c r="B45" s="260">
        <v>0.25</v>
      </c>
      <c r="C45" s="261">
        <v>0.3125</v>
      </c>
      <c r="D45" s="262">
        <v>0.66666666666666696</v>
      </c>
      <c r="E45" s="262">
        <v>0.73333333333333295</v>
      </c>
      <c r="F45" s="262">
        <v>0.6</v>
      </c>
      <c r="G45" s="262">
        <v>0.7</v>
      </c>
      <c r="H45" s="262">
        <v>0.5</v>
      </c>
      <c r="I45" s="262">
        <v>0.5</v>
      </c>
      <c r="J45" s="262">
        <v>0.33333333333333298</v>
      </c>
      <c r="K45" s="262">
        <v>0.38095238095238099</v>
      </c>
      <c r="L45" s="262">
        <v>0.2</v>
      </c>
      <c r="M45" s="262">
        <v>0.2</v>
      </c>
      <c r="N45" s="262">
        <v>0.33333333333333298</v>
      </c>
      <c r="O45" s="262">
        <v>0.33333333333333298</v>
      </c>
      <c r="P45" s="263">
        <v>0.39823008849557501</v>
      </c>
      <c r="Q45" s="264">
        <v>0.44247787610619499</v>
      </c>
    </row>
    <row r="46" spans="1:17" x14ac:dyDescent="0.3">
      <c r="A46" s="74" t="s">
        <v>11</v>
      </c>
      <c r="B46" s="260">
        <v>0.53333333333333299</v>
      </c>
      <c r="C46" s="261">
        <v>0.62222222222222201</v>
      </c>
      <c r="D46" s="262">
        <v>0.43859649122806998</v>
      </c>
      <c r="E46" s="262">
        <v>0.52631578947368396</v>
      </c>
      <c r="F46" s="262">
        <v>0.63333333333333297</v>
      </c>
      <c r="G46" s="262">
        <v>0.76666666666666705</v>
      </c>
      <c r="H46" s="262">
        <v>0.46153846153846201</v>
      </c>
      <c r="I46" s="262">
        <v>0.55384615384615399</v>
      </c>
      <c r="J46" s="262">
        <v>0.46153846153846201</v>
      </c>
      <c r="K46" s="262">
        <v>0.59615384615384603</v>
      </c>
      <c r="L46" s="262">
        <v>0.38235294117647101</v>
      </c>
      <c r="M46" s="262">
        <v>0.41176470588235298</v>
      </c>
      <c r="N46" s="262">
        <v>0.33333333333333298</v>
      </c>
      <c r="O46" s="262">
        <v>0.4</v>
      </c>
      <c r="P46" s="263">
        <v>0.48475609756097598</v>
      </c>
      <c r="Q46" s="264">
        <v>0.582317073170732</v>
      </c>
    </row>
    <row r="47" spans="1:17" x14ac:dyDescent="0.3">
      <c r="A47" s="74" t="s">
        <v>12</v>
      </c>
      <c r="B47" s="260">
        <v>0.150735294117647</v>
      </c>
      <c r="C47" s="261">
        <v>0.17279411764705899</v>
      </c>
      <c r="D47" s="262">
        <v>0.13500000000000001</v>
      </c>
      <c r="E47" s="262">
        <v>0.155</v>
      </c>
      <c r="F47" s="262">
        <v>0.13636363636363599</v>
      </c>
      <c r="G47" s="262">
        <v>0.15656565656565699</v>
      </c>
      <c r="H47" s="262">
        <v>0.143283582089552</v>
      </c>
      <c r="I47" s="262">
        <v>0.17014925373134299</v>
      </c>
      <c r="J47" s="262">
        <v>0.15909090909090901</v>
      </c>
      <c r="K47" s="262">
        <v>0.189393939393939</v>
      </c>
      <c r="L47" s="262">
        <v>0.114583333333333</v>
      </c>
      <c r="M47" s="262">
        <v>0.140625</v>
      </c>
      <c r="N47" s="262">
        <v>0.13043478260869601</v>
      </c>
      <c r="O47" s="262">
        <v>0.217391304347826</v>
      </c>
      <c r="P47" s="263">
        <v>0.14276998169615601</v>
      </c>
      <c r="Q47" s="264">
        <v>0.16961561928004901</v>
      </c>
    </row>
    <row r="48" spans="1:17" x14ac:dyDescent="0.3">
      <c r="A48" s="74" t="s">
        <v>13</v>
      </c>
      <c r="B48" s="260"/>
      <c r="C48" s="261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3"/>
      <c r="Q48" s="264"/>
    </row>
    <row r="49" spans="1:17" x14ac:dyDescent="0.3">
      <c r="A49" s="74" t="s">
        <v>14</v>
      </c>
      <c r="B49" s="260"/>
      <c r="C49" s="261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3"/>
      <c r="Q49" s="264"/>
    </row>
    <row r="50" spans="1:17" x14ac:dyDescent="0.3">
      <c r="A50" s="74" t="s">
        <v>15</v>
      </c>
      <c r="B50" s="260">
        <v>0.53488372093023295</v>
      </c>
      <c r="C50" s="261">
        <v>0.67441860465116299</v>
      </c>
      <c r="D50" s="262">
        <v>0.40845070422535201</v>
      </c>
      <c r="E50" s="262">
        <v>0.45070422535211302</v>
      </c>
      <c r="F50" s="262">
        <v>0.29411764705882398</v>
      </c>
      <c r="G50" s="262">
        <v>0.376470588235294</v>
      </c>
      <c r="H50" s="262">
        <v>0.42962962962963003</v>
      </c>
      <c r="I50" s="262">
        <v>0.50370370370370399</v>
      </c>
      <c r="J50" s="262">
        <v>0.375</v>
      </c>
      <c r="K50" s="262">
        <v>0.5</v>
      </c>
      <c r="L50" s="262">
        <v>0.20833333333333301</v>
      </c>
      <c r="M50" s="262">
        <v>0.33333333333333298</v>
      </c>
      <c r="N50" s="262"/>
      <c r="O50" s="262"/>
      <c r="P50" s="263">
        <v>0.38530066815144798</v>
      </c>
      <c r="Q50" s="264">
        <v>0.474387527839644</v>
      </c>
    </row>
    <row r="51" spans="1:17" x14ac:dyDescent="0.3">
      <c r="A51" s="74" t="s">
        <v>16</v>
      </c>
      <c r="B51" s="260">
        <v>0.33333333333333298</v>
      </c>
      <c r="C51" s="261">
        <v>0.46666666666666701</v>
      </c>
      <c r="D51" s="262">
        <v>0.36363636363636398</v>
      </c>
      <c r="E51" s="262">
        <v>0.40909090909090901</v>
      </c>
      <c r="F51" s="262">
        <v>0.5</v>
      </c>
      <c r="G51" s="262">
        <v>0.70833333333333304</v>
      </c>
      <c r="H51" s="262">
        <v>0.407407407407407</v>
      </c>
      <c r="I51" s="262">
        <v>0.51851851851851904</v>
      </c>
      <c r="J51" s="262">
        <v>0.36585365853658502</v>
      </c>
      <c r="K51" s="262">
        <v>0.51219512195121997</v>
      </c>
      <c r="L51" s="262">
        <v>0.5</v>
      </c>
      <c r="M51" s="262">
        <v>0.5</v>
      </c>
      <c r="N51" s="262"/>
      <c r="O51" s="262"/>
      <c r="P51" s="263">
        <v>0.4</v>
      </c>
      <c r="Q51" s="264">
        <v>0.52592592592592602</v>
      </c>
    </row>
    <row r="52" spans="1:17" x14ac:dyDescent="0.3">
      <c r="A52" s="74" t="s">
        <v>17</v>
      </c>
      <c r="B52" s="260"/>
      <c r="C52" s="261"/>
      <c r="D52" s="262"/>
      <c r="E52" s="262"/>
      <c r="F52" s="262"/>
      <c r="G52" s="262"/>
      <c r="H52" s="262"/>
      <c r="I52" s="262"/>
      <c r="J52" s="262">
        <v>0.6</v>
      </c>
      <c r="K52" s="262">
        <v>0.6</v>
      </c>
      <c r="L52" s="262">
        <v>0.25</v>
      </c>
      <c r="M52" s="262">
        <v>0.25</v>
      </c>
      <c r="N52" s="262"/>
      <c r="O52" s="262"/>
      <c r="P52" s="263">
        <v>0.44444444444444398</v>
      </c>
      <c r="Q52" s="264">
        <v>0.44444444444444398</v>
      </c>
    </row>
    <row r="53" spans="1:17" x14ac:dyDescent="0.3">
      <c r="A53" s="74" t="s">
        <v>18</v>
      </c>
      <c r="B53" s="260">
        <v>0.5</v>
      </c>
      <c r="C53" s="261">
        <v>0.5</v>
      </c>
      <c r="D53" s="262"/>
      <c r="E53" s="262"/>
      <c r="F53" s="262"/>
      <c r="G53" s="262"/>
      <c r="H53" s="262"/>
      <c r="I53" s="262"/>
      <c r="J53" s="262">
        <v>0.5</v>
      </c>
      <c r="K53" s="262">
        <v>0.75</v>
      </c>
      <c r="L53" s="262"/>
      <c r="M53" s="262"/>
      <c r="N53" s="262"/>
      <c r="O53" s="262"/>
      <c r="P53" s="263">
        <v>0.375</v>
      </c>
      <c r="Q53" s="264">
        <v>0.5</v>
      </c>
    </row>
    <row r="54" spans="1:17" x14ac:dyDescent="0.3">
      <c r="A54" s="74" t="s">
        <v>19</v>
      </c>
      <c r="B54" s="260">
        <v>0.40909090909090901</v>
      </c>
      <c r="C54" s="261">
        <v>0.40909090909090901</v>
      </c>
      <c r="D54" s="262">
        <v>0.38095238095238099</v>
      </c>
      <c r="E54" s="262">
        <v>0.5</v>
      </c>
      <c r="F54" s="262">
        <v>0.40816326530612201</v>
      </c>
      <c r="G54" s="262">
        <v>0.469387755102041</v>
      </c>
      <c r="H54" s="262">
        <v>0.32258064516128998</v>
      </c>
      <c r="I54" s="262">
        <v>0.41935483870967699</v>
      </c>
      <c r="J54" s="262">
        <v>0.218181818181818</v>
      </c>
      <c r="K54" s="262">
        <v>0.34545454545454501</v>
      </c>
      <c r="L54" s="262">
        <v>0.25</v>
      </c>
      <c r="M54" s="262">
        <v>0.4</v>
      </c>
      <c r="N54" s="262">
        <v>0.28571428571428598</v>
      </c>
      <c r="O54" s="262">
        <v>0.42857142857142899</v>
      </c>
      <c r="P54" s="263">
        <v>0.32684824902723703</v>
      </c>
      <c r="Q54" s="264">
        <v>0.42412451361867698</v>
      </c>
    </row>
    <row r="55" spans="1:17" x14ac:dyDescent="0.3">
      <c r="A55" s="74" t="s">
        <v>20</v>
      </c>
      <c r="B55" s="265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7"/>
      <c r="Q55" s="268"/>
    </row>
    <row r="56" spans="1:17" ht="14.5" thickBot="1" x14ac:dyDescent="0.35">
      <c r="A56" s="75" t="s">
        <v>1</v>
      </c>
      <c r="B56" s="269">
        <v>0.46219797349961</v>
      </c>
      <c r="C56" s="270">
        <v>0.50896336710834</v>
      </c>
      <c r="D56" s="270">
        <v>0.41946451338716501</v>
      </c>
      <c r="E56" s="270">
        <v>0.49213769655758599</v>
      </c>
      <c r="F56" s="270">
        <v>0.39590125756870098</v>
      </c>
      <c r="G56" s="270">
        <v>0.47414997671169101</v>
      </c>
      <c r="H56" s="270">
        <v>0.41535947712418297</v>
      </c>
      <c r="I56" s="270">
        <v>0.49901960784313698</v>
      </c>
      <c r="J56" s="270">
        <v>0.38064114534702798</v>
      </c>
      <c r="K56" s="270">
        <v>0.46031746031746001</v>
      </c>
      <c r="L56" s="270">
        <v>0.341321243523316</v>
      </c>
      <c r="M56" s="270">
        <v>0.40738341968911901</v>
      </c>
      <c r="N56" s="270">
        <v>0.26395939086294401</v>
      </c>
      <c r="O56" s="270">
        <v>0.32148900169204703</v>
      </c>
      <c r="P56" s="270">
        <v>0.40067209512731</v>
      </c>
      <c r="Q56" s="271">
        <v>0.47221145146697702</v>
      </c>
    </row>
    <row r="57" spans="1:17" ht="14.5" thickBot="1" x14ac:dyDescent="0.35"/>
    <row r="58" spans="1:17" x14ac:dyDescent="0.3">
      <c r="A58" s="648" t="s">
        <v>2</v>
      </c>
      <c r="B58" s="645" t="s">
        <v>21</v>
      </c>
      <c r="C58" s="646"/>
      <c r="D58" s="646"/>
      <c r="E58" s="646"/>
      <c r="F58" s="646"/>
      <c r="G58" s="646"/>
      <c r="H58" s="646"/>
      <c r="I58" s="646"/>
      <c r="J58" s="646"/>
      <c r="K58" s="646"/>
      <c r="L58" s="646"/>
      <c r="M58" s="646"/>
      <c r="N58" s="646"/>
      <c r="O58" s="646"/>
      <c r="P58" s="646"/>
      <c r="Q58" s="647"/>
    </row>
    <row r="59" spans="1:17" x14ac:dyDescent="0.3">
      <c r="A59" s="649"/>
      <c r="B59" s="606" t="s">
        <v>28</v>
      </c>
      <c r="C59" s="574"/>
      <c r="D59" s="574" t="s">
        <v>29</v>
      </c>
      <c r="E59" s="574"/>
      <c r="F59" s="574" t="s">
        <v>30</v>
      </c>
      <c r="G59" s="574"/>
      <c r="H59" s="574" t="s">
        <v>31</v>
      </c>
      <c r="I59" s="574"/>
      <c r="J59" s="574" t="s">
        <v>32</v>
      </c>
      <c r="K59" s="574"/>
      <c r="L59" s="574" t="s">
        <v>33</v>
      </c>
      <c r="M59" s="574"/>
      <c r="N59" s="574" t="s">
        <v>34</v>
      </c>
      <c r="O59" s="574"/>
      <c r="P59" s="574" t="s">
        <v>183</v>
      </c>
      <c r="Q59" s="605"/>
    </row>
    <row r="60" spans="1:17" ht="26" x14ac:dyDescent="0.3">
      <c r="A60" s="650"/>
      <c r="B60" s="76" t="s">
        <v>67</v>
      </c>
      <c r="C60" s="72" t="s">
        <v>68</v>
      </c>
      <c r="D60" s="72" t="s">
        <v>67</v>
      </c>
      <c r="E60" s="72" t="s">
        <v>68</v>
      </c>
      <c r="F60" s="72" t="s">
        <v>67</v>
      </c>
      <c r="G60" s="72" t="s">
        <v>68</v>
      </c>
      <c r="H60" s="72" t="s">
        <v>67</v>
      </c>
      <c r="I60" s="72" t="s">
        <v>68</v>
      </c>
      <c r="J60" s="72" t="s">
        <v>67</v>
      </c>
      <c r="K60" s="72" t="s">
        <v>68</v>
      </c>
      <c r="L60" s="72" t="s">
        <v>67</v>
      </c>
      <c r="M60" s="72" t="s">
        <v>68</v>
      </c>
      <c r="N60" s="72" t="s">
        <v>67</v>
      </c>
      <c r="O60" s="72" t="s">
        <v>68</v>
      </c>
      <c r="P60" s="72" t="s">
        <v>67</v>
      </c>
      <c r="Q60" s="73" t="s">
        <v>68</v>
      </c>
    </row>
    <row r="61" spans="1:17" x14ac:dyDescent="0.3">
      <c r="A61" s="272" t="s">
        <v>3</v>
      </c>
      <c r="B61" s="260">
        <v>0.72727272727272696</v>
      </c>
      <c r="C61" s="262">
        <v>0.77272727272727304</v>
      </c>
      <c r="D61" s="262">
        <v>0.51063829787234005</v>
      </c>
      <c r="E61" s="262">
        <v>0.55319148936170204</v>
      </c>
      <c r="F61" s="262">
        <v>0.37777777777777799</v>
      </c>
      <c r="G61" s="262">
        <v>0.53333333333333299</v>
      </c>
      <c r="H61" s="262">
        <v>0.5</v>
      </c>
      <c r="I61" s="262">
        <v>0.61666666666666703</v>
      </c>
      <c r="J61" s="262">
        <v>0.45614035087719301</v>
      </c>
      <c r="K61" s="262">
        <v>0.50877192982456099</v>
      </c>
      <c r="L61" s="262">
        <v>0.2</v>
      </c>
      <c r="M61" s="262">
        <v>0.32500000000000001</v>
      </c>
      <c r="N61" s="262">
        <v>0.16666666666666699</v>
      </c>
      <c r="O61" s="262">
        <v>0.16666666666666699</v>
      </c>
      <c r="P61" s="263">
        <v>0.43462897526501798</v>
      </c>
      <c r="Q61" s="264">
        <v>0.52296819787985904</v>
      </c>
    </row>
    <row r="62" spans="1:17" x14ac:dyDescent="0.3">
      <c r="A62" s="272" t="s">
        <v>4</v>
      </c>
      <c r="B62" s="260"/>
      <c r="C62" s="262"/>
      <c r="D62" s="262">
        <v>0.66666666666666696</v>
      </c>
      <c r="E62" s="262">
        <v>0.66666666666666696</v>
      </c>
      <c r="F62" s="262">
        <v>1</v>
      </c>
      <c r="G62" s="262">
        <v>1</v>
      </c>
      <c r="H62" s="262"/>
      <c r="I62" s="262"/>
      <c r="J62" s="262">
        <v>1</v>
      </c>
      <c r="K62" s="262">
        <v>1</v>
      </c>
      <c r="L62" s="262">
        <v>0.5</v>
      </c>
      <c r="M62" s="262">
        <v>0.5</v>
      </c>
      <c r="N62" s="262"/>
      <c r="O62" s="262"/>
      <c r="P62" s="263">
        <v>0.55555555555555602</v>
      </c>
      <c r="Q62" s="264">
        <v>0.55555555555555602</v>
      </c>
    </row>
    <row r="63" spans="1:17" x14ac:dyDescent="0.3">
      <c r="A63" s="272" t="s">
        <v>5</v>
      </c>
      <c r="B63" s="260">
        <v>0.60415527610716202</v>
      </c>
      <c r="C63" s="262">
        <v>0.67523236741388704</v>
      </c>
      <c r="D63" s="262">
        <v>0.51263537906137202</v>
      </c>
      <c r="E63" s="262">
        <v>0.61868231046931399</v>
      </c>
      <c r="F63" s="262">
        <v>0.48162583518931001</v>
      </c>
      <c r="G63" s="262">
        <v>0.58574610244988901</v>
      </c>
      <c r="H63" s="262">
        <v>0.49031690140845102</v>
      </c>
      <c r="I63" s="262">
        <v>0.60035211267605604</v>
      </c>
      <c r="J63" s="262">
        <v>0.45179584120983002</v>
      </c>
      <c r="K63" s="262">
        <v>0.55387523629489599</v>
      </c>
      <c r="L63" s="262">
        <v>0.38348416289592802</v>
      </c>
      <c r="M63" s="262">
        <v>0.47058823529411797</v>
      </c>
      <c r="N63" s="262">
        <v>0.293604651162791</v>
      </c>
      <c r="O63" s="262">
        <v>0.377906976744186</v>
      </c>
      <c r="P63" s="263">
        <v>0.490180675569521</v>
      </c>
      <c r="Q63" s="264">
        <v>0.588286636990486</v>
      </c>
    </row>
    <row r="64" spans="1:17" x14ac:dyDescent="0.3">
      <c r="A64" s="272" t="s">
        <v>23</v>
      </c>
      <c r="B64" s="260">
        <v>0.75</v>
      </c>
      <c r="C64" s="262">
        <v>0.85</v>
      </c>
      <c r="D64" s="262">
        <v>0.8125</v>
      </c>
      <c r="E64" s="262">
        <v>0.875</v>
      </c>
      <c r="F64" s="262">
        <v>0.82608695652173902</v>
      </c>
      <c r="G64" s="262">
        <v>1</v>
      </c>
      <c r="H64" s="262">
        <v>0.82352941176470595</v>
      </c>
      <c r="I64" s="262">
        <v>0.88235294117647101</v>
      </c>
      <c r="J64" s="262">
        <v>0.85294117647058798</v>
      </c>
      <c r="K64" s="262">
        <v>0.91176470588235303</v>
      </c>
      <c r="L64" s="262">
        <v>0.76190476190476197</v>
      </c>
      <c r="M64" s="262">
        <v>0.80952380952380998</v>
      </c>
      <c r="N64" s="262">
        <v>0.66666666666666696</v>
      </c>
      <c r="O64" s="262">
        <v>0.66666666666666696</v>
      </c>
      <c r="P64" s="263">
        <v>0.80346820809248598</v>
      </c>
      <c r="Q64" s="264">
        <v>0.87861271676300601</v>
      </c>
    </row>
    <row r="65" spans="1:17" x14ac:dyDescent="0.3">
      <c r="A65" s="272" t="s">
        <v>24</v>
      </c>
      <c r="B65" s="260">
        <v>0.47058823529411797</v>
      </c>
      <c r="C65" s="262">
        <v>0.58823529411764697</v>
      </c>
      <c r="D65" s="262">
        <v>0.29411764705882398</v>
      </c>
      <c r="E65" s="262">
        <v>0.29411764705882398</v>
      </c>
      <c r="F65" s="262">
        <v>0.2</v>
      </c>
      <c r="G65" s="262">
        <v>0.2</v>
      </c>
      <c r="H65" s="262">
        <v>0.47058823529411797</v>
      </c>
      <c r="I65" s="262">
        <v>0.52941176470588203</v>
      </c>
      <c r="J65" s="262">
        <v>0.25</v>
      </c>
      <c r="K65" s="262">
        <v>0.25</v>
      </c>
      <c r="L65" s="262"/>
      <c r="M65" s="262"/>
      <c r="N65" s="262"/>
      <c r="O65" s="262"/>
      <c r="P65" s="263">
        <v>0.35714285714285698</v>
      </c>
      <c r="Q65" s="264">
        <v>0.4</v>
      </c>
    </row>
    <row r="66" spans="1:17" x14ac:dyDescent="0.3">
      <c r="A66" s="272" t="s">
        <v>6</v>
      </c>
      <c r="B66" s="260">
        <v>0.40322580645161299</v>
      </c>
      <c r="C66" s="262">
        <v>0.45161290322580599</v>
      </c>
      <c r="D66" s="262">
        <v>0.42419601837672299</v>
      </c>
      <c r="E66" s="262">
        <v>0.48851454823889701</v>
      </c>
      <c r="F66" s="262">
        <v>0.40830449826989601</v>
      </c>
      <c r="G66" s="262">
        <v>0.474048442906574</v>
      </c>
      <c r="H66" s="262">
        <v>0.42509603072983398</v>
      </c>
      <c r="I66" s="262">
        <v>0.51472471190781099</v>
      </c>
      <c r="J66" s="262">
        <v>0.44157441574415701</v>
      </c>
      <c r="K66" s="262">
        <v>0.50676506765067697</v>
      </c>
      <c r="L66" s="262">
        <v>0.33426966292134802</v>
      </c>
      <c r="M66" s="262">
        <v>0.40449438202247201</v>
      </c>
      <c r="N66" s="262">
        <v>0.31944444444444398</v>
      </c>
      <c r="O66" s="262">
        <v>0.38194444444444398</v>
      </c>
      <c r="P66" s="263">
        <v>0.41050733968580999</v>
      </c>
      <c r="Q66" s="264">
        <v>0.47849600824105099</v>
      </c>
    </row>
    <row r="67" spans="1:17" ht="25" x14ac:dyDescent="0.3">
      <c r="A67" s="272" t="s">
        <v>22</v>
      </c>
      <c r="B67" s="260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64"/>
    </row>
    <row r="68" spans="1:17" x14ac:dyDescent="0.3">
      <c r="A68" s="272" t="s">
        <v>7</v>
      </c>
      <c r="B68" s="260">
        <v>0.36363636363636398</v>
      </c>
      <c r="C68" s="262">
        <v>0.41258741258741299</v>
      </c>
      <c r="D68" s="262">
        <v>0.31770833333333298</v>
      </c>
      <c r="E68" s="262">
        <v>0.36458333333333298</v>
      </c>
      <c r="F68" s="262">
        <v>0.30769230769230799</v>
      </c>
      <c r="G68" s="262">
        <v>0.34965034965035002</v>
      </c>
      <c r="H68" s="262">
        <v>0.399014778325123</v>
      </c>
      <c r="I68" s="262">
        <v>0.47783251231527102</v>
      </c>
      <c r="J68" s="262">
        <v>0.29166666666666702</v>
      </c>
      <c r="K68" s="262">
        <v>0.358333333333333</v>
      </c>
      <c r="L68" s="262">
        <v>0.24647887323943701</v>
      </c>
      <c r="M68" s="262">
        <v>0.309859154929577</v>
      </c>
      <c r="N68" s="262">
        <v>0.12903225806451599</v>
      </c>
      <c r="O68" s="262">
        <v>0.14516129032258099</v>
      </c>
      <c r="P68" s="263">
        <v>0.312</v>
      </c>
      <c r="Q68" s="264">
        <v>0.36888888888888899</v>
      </c>
    </row>
    <row r="69" spans="1:17" x14ac:dyDescent="0.3">
      <c r="A69" s="272" t="s">
        <v>8</v>
      </c>
      <c r="B69" s="260">
        <v>0.59288537549407105</v>
      </c>
      <c r="C69" s="262">
        <v>0.64822134387351804</v>
      </c>
      <c r="D69" s="262">
        <v>0.486552567237164</v>
      </c>
      <c r="E69" s="262">
        <v>0.55501222493887503</v>
      </c>
      <c r="F69" s="262">
        <v>0.45177664974619303</v>
      </c>
      <c r="G69" s="262">
        <v>0.51776649746192904</v>
      </c>
      <c r="H69" s="262">
        <v>0.44495412844036702</v>
      </c>
      <c r="I69" s="262">
        <v>0.53058103975535198</v>
      </c>
      <c r="J69" s="262">
        <v>0.374209860935525</v>
      </c>
      <c r="K69" s="262">
        <v>0.43742098609355201</v>
      </c>
      <c r="L69" s="262">
        <v>0.37611940298507501</v>
      </c>
      <c r="M69" s="262">
        <v>0.45074626865671602</v>
      </c>
      <c r="N69" s="262">
        <v>0.45977011494252901</v>
      </c>
      <c r="O69" s="262">
        <v>0.52873563218390796</v>
      </c>
      <c r="P69" s="263">
        <v>0.43790626069107103</v>
      </c>
      <c r="Q69" s="264">
        <v>0.50803968525487497</v>
      </c>
    </row>
    <row r="70" spans="1:17" x14ac:dyDescent="0.3">
      <c r="A70" s="272" t="s">
        <v>9</v>
      </c>
      <c r="B70" s="260">
        <v>0.226229508196721</v>
      </c>
      <c r="C70" s="262">
        <v>0.243715846994536</v>
      </c>
      <c r="D70" s="262">
        <v>0.24380574826561</v>
      </c>
      <c r="E70" s="262">
        <v>0.27552031714568898</v>
      </c>
      <c r="F70" s="262">
        <v>0.23469387755102</v>
      </c>
      <c r="G70" s="262">
        <v>0.260770975056689</v>
      </c>
      <c r="H70" s="262">
        <v>0.278244631185808</v>
      </c>
      <c r="I70" s="262">
        <v>0.31559290382819799</v>
      </c>
      <c r="J70" s="262">
        <v>0.26826722338204601</v>
      </c>
      <c r="K70" s="262">
        <v>0.29645093945720302</v>
      </c>
      <c r="L70" s="262">
        <v>0.28411633109619699</v>
      </c>
      <c r="M70" s="262">
        <v>0.30648769574944101</v>
      </c>
      <c r="N70" s="262">
        <v>0.116822429906542</v>
      </c>
      <c r="O70" s="262">
        <v>0.13551401869158899</v>
      </c>
      <c r="P70" s="263">
        <v>0.24872634643377001</v>
      </c>
      <c r="Q70" s="264">
        <v>0.27638282387190699</v>
      </c>
    </row>
    <row r="71" spans="1:17" x14ac:dyDescent="0.3">
      <c r="A71" s="272" t="s">
        <v>10</v>
      </c>
      <c r="B71" s="260">
        <v>0.35</v>
      </c>
      <c r="C71" s="262">
        <v>0.4</v>
      </c>
      <c r="D71" s="262">
        <v>0.66666666666666696</v>
      </c>
      <c r="E71" s="262">
        <v>0.69230769230769196</v>
      </c>
      <c r="F71" s="262">
        <v>0.66666666666666696</v>
      </c>
      <c r="G71" s="262">
        <v>0.74074074074074103</v>
      </c>
      <c r="H71" s="262">
        <v>0.44444444444444398</v>
      </c>
      <c r="I71" s="262">
        <v>0.53333333333333299</v>
      </c>
      <c r="J71" s="262">
        <v>0.37837837837837801</v>
      </c>
      <c r="K71" s="262">
        <v>0.40540540540540498</v>
      </c>
      <c r="L71" s="262">
        <v>0.29411764705882398</v>
      </c>
      <c r="M71" s="262">
        <v>0.29411764705882398</v>
      </c>
      <c r="N71" s="262">
        <v>0.25</v>
      </c>
      <c r="O71" s="262">
        <v>0.25</v>
      </c>
      <c r="P71" s="263">
        <v>0.46889952153110098</v>
      </c>
      <c r="Q71" s="264">
        <v>0.51674641148325395</v>
      </c>
    </row>
    <row r="72" spans="1:17" x14ac:dyDescent="0.3">
      <c r="A72" s="272" t="s">
        <v>11</v>
      </c>
      <c r="B72" s="260">
        <v>0.54651162790697705</v>
      </c>
      <c r="C72" s="262">
        <v>0.65116279069767502</v>
      </c>
      <c r="D72" s="262">
        <v>0.5</v>
      </c>
      <c r="E72" s="262">
        <v>0.58461538461538498</v>
      </c>
      <c r="F72" s="262">
        <v>0.54411764705882404</v>
      </c>
      <c r="G72" s="262">
        <v>0.61764705882352899</v>
      </c>
      <c r="H72" s="262">
        <v>0.45864661654135302</v>
      </c>
      <c r="I72" s="262">
        <v>0.57142857142857095</v>
      </c>
      <c r="J72" s="262">
        <v>0.49549549549549599</v>
      </c>
      <c r="K72" s="262">
        <v>0.59459459459459496</v>
      </c>
      <c r="L72" s="262">
        <v>0.41818181818181799</v>
      </c>
      <c r="M72" s="262">
        <v>0.527272727272727</v>
      </c>
      <c r="N72" s="262">
        <v>0.21875</v>
      </c>
      <c r="O72" s="262">
        <v>0.25</v>
      </c>
      <c r="P72" s="263">
        <v>0.48609077598828698</v>
      </c>
      <c r="Q72" s="264">
        <v>0.57833089311859398</v>
      </c>
    </row>
    <row r="73" spans="1:17" x14ac:dyDescent="0.3">
      <c r="A73" s="272" t="s">
        <v>12</v>
      </c>
      <c r="B73" s="260">
        <v>0.13809523809523799</v>
      </c>
      <c r="C73" s="262">
        <v>0.15952380952381001</v>
      </c>
      <c r="D73" s="262">
        <v>0.13347022587269</v>
      </c>
      <c r="E73" s="262">
        <v>0.15400410677618101</v>
      </c>
      <c r="F73" s="262">
        <v>0.143776824034335</v>
      </c>
      <c r="G73" s="262">
        <v>0.169527896995708</v>
      </c>
      <c r="H73" s="262">
        <v>0.15198863636363599</v>
      </c>
      <c r="I73" s="262">
        <v>0.18323863636363599</v>
      </c>
      <c r="J73" s="262">
        <v>0.15564738292010999</v>
      </c>
      <c r="K73" s="262">
        <v>0.18595041322313999</v>
      </c>
      <c r="L73" s="262">
        <v>0.15131578947368399</v>
      </c>
      <c r="M73" s="262">
        <v>0.17434210526315799</v>
      </c>
      <c r="N73" s="262">
        <v>0.10294117647058799</v>
      </c>
      <c r="O73" s="262">
        <v>0.17647058823529399</v>
      </c>
      <c r="P73" s="263">
        <v>0.14582677165354299</v>
      </c>
      <c r="Q73" s="264">
        <v>0.17322834645669299</v>
      </c>
    </row>
    <row r="74" spans="1:17" x14ac:dyDescent="0.3">
      <c r="A74" s="272" t="s">
        <v>13</v>
      </c>
      <c r="B74" s="260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64"/>
    </row>
    <row r="75" spans="1:17" x14ac:dyDescent="0.3">
      <c r="A75" s="272" t="s">
        <v>14</v>
      </c>
      <c r="B75" s="260"/>
      <c r="C75" s="262"/>
      <c r="D75" s="262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3"/>
      <c r="Q75" s="264"/>
    </row>
    <row r="76" spans="1:17" x14ac:dyDescent="0.3">
      <c r="A76" s="272" t="s">
        <v>15</v>
      </c>
      <c r="B76" s="260">
        <v>0.53125</v>
      </c>
      <c r="C76" s="262">
        <v>0.64583333333333304</v>
      </c>
      <c r="D76" s="262">
        <v>0.38235294117647101</v>
      </c>
      <c r="E76" s="262">
        <v>0.47058823529411797</v>
      </c>
      <c r="F76" s="262">
        <v>0.33333333333333298</v>
      </c>
      <c r="G76" s="262">
        <v>0.43283582089552203</v>
      </c>
      <c r="H76" s="262">
        <v>0.43006993006993</v>
      </c>
      <c r="I76" s="262">
        <v>0.52797202797202802</v>
      </c>
      <c r="J76" s="262">
        <v>0.33532934131736503</v>
      </c>
      <c r="K76" s="262">
        <v>0.47305389221556898</v>
      </c>
      <c r="L76" s="262">
        <v>0.17499999999999999</v>
      </c>
      <c r="M76" s="262">
        <v>0.3</v>
      </c>
      <c r="N76" s="262"/>
      <c r="O76" s="262"/>
      <c r="P76" s="263">
        <v>0.38238341968911899</v>
      </c>
      <c r="Q76" s="264">
        <v>0.48808290155440398</v>
      </c>
    </row>
    <row r="77" spans="1:17" x14ac:dyDescent="0.3">
      <c r="A77" s="272" t="s">
        <v>16</v>
      </c>
      <c r="B77" s="260">
        <v>0.32258064516128998</v>
      </c>
      <c r="C77" s="262">
        <v>0.45161290322580599</v>
      </c>
      <c r="D77" s="262">
        <v>0.469135802469136</v>
      </c>
      <c r="E77" s="262">
        <v>0.54320987654320996</v>
      </c>
      <c r="F77" s="262">
        <v>0.55844155844155796</v>
      </c>
      <c r="G77" s="262">
        <v>0.67532467532467499</v>
      </c>
      <c r="H77" s="262">
        <v>0.43636363636363601</v>
      </c>
      <c r="I77" s="262">
        <v>0.50909090909090904</v>
      </c>
      <c r="J77" s="262">
        <v>0.37</v>
      </c>
      <c r="K77" s="262">
        <v>0.49</v>
      </c>
      <c r="L77" s="262">
        <v>0.52380952380952395</v>
      </c>
      <c r="M77" s="262">
        <v>0.52380952380952395</v>
      </c>
      <c r="N77" s="262"/>
      <c r="O77" s="262"/>
      <c r="P77" s="263">
        <v>0.44418052256532098</v>
      </c>
      <c r="Q77" s="264">
        <v>0.53681710213776701</v>
      </c>
    </row>
    <row r="78" spans="1:17" x14ac:dyDescent="0.3">
      <c r="A78" s="272" t="s">
        <v>17</v>
      </c>
      <c r="B78" s="260"/>
      <c r="C78" s="262"/>
      <c r="D78" s="262"/>
      <c r="E78" s="262"/>
      <c r="F78" s="262">
        <v>0.5</v>
      </c>
      <c r="G78" s="262">
        <v>0.5</v>
      </c>
      <c r="H78" s="262">
        <v>0.25</v>
      </c>
      <c r="I78" s="262">
        <v>0.5</v>
      </c>
      <c r="J78" s="262">
        <v>0.44444444444444398</v>
      </c>
      <c r="K78" s="262">
        <v>0.44444444444444398</v>
      </c>
      <c r="L78" s="262">
        <v>0.2</v>
      </c>
      <c r="M78" s="262">
        <v>0.2</v>
      </c>
      <c r="N78" s="262"/>
      <c r="O78" s="262"/>
      <c r="P78" s="263">
        <v>0.28571428571428598</v>
      </c>
      <c r="Q78" s="264">
        <v>0.32142857142857101</v>
      </c>
    </row>
    <row r="79" spans="1:17" x14ac:dyDescent="0.3">
      <c r="A79" s="272" t="s">
        <v>18</v>
      </c>
      <c r="B79" s="260">
        <v>0.66666666666666696</v>
      </c>
      <c r="C79" s="262">
        <v>0.66666666666666696</v>
      </c>
      <c r="D79" s="262">
        <v>0.5</v>
      </c>
      <c r="E79" s="262">
        <v>0.5</v>
      </c>
      <c r="F79" s="262">
        <v>0.71428571428571397</v>
      </c>
      <c r="G79" s="262">
        <v>0.71428571428571397</v>
      </c>
      <c r="H79" s="262">
        <v>0.76923076923076905</v>
      </c>
      <c r="I79" s="262">
        <v>0.76923076923076905</v>
      </c>
      <c r="J79" s="262">
        <v>0.58333333333333304</v>
      </c>
      <c r="K79" s="262">
        <v>0.83333333333333304</v>
      </c>
      <c r="L79" s="262">
        <v>1</v>
      </c>
      <c r="M79" s="262">
        <v>1</v>
      </c>
      <c r="N79" s="262"/>
      <c r="O79" s="262"/>
      <c r="P79" s="263">
        <v>0.67441860465116299</v>
      </c>
      <c r="Q79" s="264">
        <v>0.74418604651162801</v>
      </c>
    </row>
    <row r="80" spans="1:17" x14ac:dyDescent="0.3">
      <c r="A80" s="272" t="s">
        <v>19</v>
      </c>
      <c r="B80" s="260">
        <v>0.46</v>
      </c>
      <c r="C80" s="262">
        <v>0.5</v>
      </c>
      <c r="D80" s="262">
        <v>0.33939393939393903</v>
      </c>
      <c r="E80" s="262">
        <v>0.43030303030303002</v>
      </c>
      <c r="F80" s="262">
        <v>0.30379746835443</v>
      </c>
      <c r="G80" s="262">
        <v>0.39873417721519</v>
      </c>
      <c r="H80" s="262">
        <v>0.31481481481481499</v>
      </c>
      <c r="I80" s="262">
        <v>0.438271604938272</v>
      </c>
      <c r="J80" s="262">
        <v>0.2265625</v>
      </c>
      <c r="K80" s="262">
        <v>0.3203125</v>
      </c>
      <c r="L80" s="262">
        <v>0.26829268292682901</v>
      </c>
      <c r="M80" s="262">
        <v>0.46341463414634199</v>
      </c>
      <c r="N80" s="262">
        <v>0.25</v>
      </c>
      <c r="O80" s="262">
        <v>0.41666666666666702</v>
      </c>
      <c r="P80" s="263">
        <v>0.30865921787709499</v>
      </c>
      <c r="Q80" s="264">
        <v>0.41201117318435798</v>
      </c>
    </row>
    <row r="81" spans="1:17" x14ac:dyDescent="0.3">
      <c r="A81" s="272" t="s">
        <v>20</v>
      </c>
      <c r="B81" s="265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6"/>
      <c r="N81" s="266"/>
      <c r="O81" s="266"/>
      <c r="P81" s="267"/>
      <c r="Q81" s="268"/>
    </row>
    <row r="82" spans="1:17" ht="14.5" thickBot="1" x14ac:dyDescent="0.35">
      <c r="A82" s="273" t="s">
        <v>1</v>
      </c>
      <c r="B82" s="269">
        <v>0.442239072256913</v>
      </c>
      <c r="C82" s="270">
        <v>0.49487065120428197</v>
      </c>
      <c r="D82" s="270">
        <v>0.40558698727015602</v>
      </c>
      <c r="E82" s="270">
        <v>0.47772277227722798</v>
      </c>
      <c r="F82" s="270">
        <v>0.382531338455317</v>
      </c>
      <c r="G82" s="270">
        <v>0.45511524464213499</v>
      </c>
      <c r="H82" s="270">
        <v>0.39746526187204201</v>
      </c>
      <c r="I82" s="270">
        <v>0.47992059856466601</v>
      </c>
      <c r="J82" s="270">
        <v>0.36636017755231498</v>
      </c>
      <c r="K82" s="270">
        <v>0.43785668991756499</v>
      </c>
      <c r="L82" s="270">
        <v>0.32303164091243602</v>
      </c>
      <c r="M82" s="270">
        <v>0.38852097130242802</v>
      </c>
      <c r="N82" s="270">
        <v>0.246492985971944</v>
      </c>
      <c r="O82" s="270">
        <v>0.30360721442885802</v>
      </c>
      <c r="P82" s="270">
        <v>0.38557756088316097</v>
      </c>
      <c r="Q82" s="271">
        <v>0.45598408035629701</v>
      </c>
    </row>
  </sheetData>
  <mergeCells count="31">
    <mergeCell ref="A58:A60"/>
    <mergeCell ref="B58:Q58"/>
    <mergeCell ref="B59:C59"/>
    <mergeCell ref="D59:E59"/>
    <mergeCell ref="F59:G59"/>
    <mergeCell ref="H59:I59"/>
    <mergeCell ref="J59:K59"/>
    <mergeCell ref="L59:M59"/>
    <mergeCell ref="N59:O59"/>
    <mergeCell ref="P59:Q59"/>
    <mergeCell ref="A32:A34"/>
    <mergeCell ref="B32:Q32"/>
    <mergeCell ref="B33:C33"/>
    <mergeCell ref="D33:E33"/>
    <mergeCell ref="F33:G33"/>
    <mergeCell ref="H33:I33"/>
    <mergeCell ref="J33:K33"/>
    <mergeCell ref="L33:M33"/>
    <mergeCell ref="N33:O33"/>
    <mergeCell ref="P33:Q33"/>
    <mergeCell ref="A1:K1"/>
    <mergeCell ref="A6:A8"/>
    <mergeCell ref="B6:Q6"/>
    <mergeCell ref="B7:C7"/>
    <mergeCell ref="D7:E7"/>
    <mergeCell ref="F7:G7"/>
    <mergeCell ref="H7:I7"/>
    <mergeCell ref="J7:K7"/>
    <mergeCell ref="L7:M7"/>
    <mergeCell ref="N7:O7"/>
    <mergeCell ref="P7:Q7"/>
  </mergeCells>
  <hyperlinks>
    <hyperlink ref="A9" r:id="rId1" xr:uid="{107975EC-73FC-42F7-B9B7-58EE431B73B1}"/>
    <hyperlink ref="A11" r:id="rId2" xr:uid="{38A4C4A7-41D3-4C2C-A590-D700728CA0BA}"/>
    <hyperlink ref="A13" r:id="rId3" display="PROV. AUTON. TRENTO" xr:uid="{0CFBE2CB-1851-43A9-A0D1-177017884886}"/>
    <hyperlink ref="A14" r:id="rId4" xr:uid="{7B0FCC0C-B498-4BA2-8ABC-5C4D43C678F4}"/>
    <hyperlink ref="A15" r:id="rId5" xr:uid="{6E1A30E1-DB95-4512-B830-7B17F2603076}"/>
    <hyperlink ref="A16" r:id="rId6" xr:uid="{E5B9EBC1-4BEB-4BB5-97FF-4CAAD2D8A1BC}"/>
    <hyperlink ref="A17" r:id="rId7" xr:uid="{2A843CA6-E2DD-4F04-AD53-94E0A17D1BC3}"/>
    <hyperlink ref="A18" r:id="rId8" xr:uid="{A955614B-7752-48B5-BE5E-D02D568DCAFA}"/>
    <hyperlink ref="A19" r:id="rId9" xr:uid="{E86F4E06-09CE-4E7C-A8E5-9537C3896212}"/>
    <hyperlink ref="A20" r:id="rId10" xr:uid="{8B1D2BE4-88F2-4326-B0D0-6260868D6EC4}"/>
    <hyperlink ref="A21" r:id="rId11" xr:uid="{3A264774-E251-4908-88BA-DFCD87AD331E}"/>
    <hyperlink ref="A22" r:id="rId12" xr:uid="{E690EBA8-4F55-42E0-8915-397CA90B73E4}"/>
    <hyperlink ref="A23" r:id="rId13" xr:uid="{9674D012-E7F7-4116-9ED4-E8046AB06709}"/>
    <hyperlink ref="A24" r:id="rId14" xr:uid="{BA3C178F-42F7-48AF-BA69-CF5C94F0E512}"/>
    <hyperlink ref="A25" r:id="rId15" xr:uid="{49CDAB3E-DE5C-4EF1-8BAC-C99DC902B814}"/>
    <hyperlink ref="A26" r:id="rId16" xr:uid="{C0B94845-D855-46EC-988F-AE57038E4E81}"/>
    <hyperlink ref="A27" r:id="rId17" xr:uid="{AD399CD4-E065-476A-82B1-C37E9A0A8F7B}"/>
    <hyperlink ref="A28" r:id="rId18" xr:uid="{70BBFAA7-D5FE-47C3-A477-28ECAF83656D}"/>
    <hyperlink ref="A80" r:id="rId19" xr:uid="{CE1EC39B-7B61-4614-9641-43097FF9D994}"/>
    <hyperlink ref="A79" r:id="rId20" xr:uid="{E689FCF4-322B-41A3-B549-BE5C308E421F}"/>
    <hyperlink ref="A78" r:id="rId21" xr:uid="{20528ACD-5F81-4C9D-ABE8-092E0D962E67}"/>
    <hyperlink ref="A77" r:id="rId22" xr:uid="{B1F23D49-132F-4D98-A23E-8B5F8D235536}"/>
    <hyperlink ref="A76" r:id="rId23" xr:uid="{EC526835-75A0-473B-8095-7FF96F73322E}"/>
    <hyperlink ref="A75" r:id="rId24" xr:uid="{9F59C755-9238-4ED7-85BE-A03F07B60C97}"/>
    <hyperlink ref="A74" r:id="rId25" xr:uid="{D746AE38-6ABB-4393-8F99-10516C1233E7}"/>
    <hyperlink ref="A73" r:id="rId26" xr:uid="{57D48EF0-572F-4711-93ED-B810C8E8136B}"/>
    <hyperlink ref="A72" r:id="rId27" xr:uid="{2014F4C9-2E5B-4FC5-8527-2297ACBB808A}"/>
    <hyperlink ref="A71" r:id="rId28" xr:uid="{29E90AA4-480E-4554-88AF-0AE90FE0117F}"/>
    <hyperlink ref="A70" r:id="rId29" xr:uid="{5F9DC2C8-324C-4C1A-B1D2-3E8B09037A68}"/>
    <hyperlink ref="A69" r:id="rId30" xr:uid="{844A5EBE-2E5B-419F-B19C-CB4C61D9EE00}"/>
    <hyperlink ref="A68" r:id="rId31" xr:uid="{80F460E6-3EB7-42D5-A88C-530CFF301127}"/>
    <hyperlink ref="A67" r:id="rId32" xr:uid="{5360D145-264F-4272-A46E-327DB9FEC9C7}"/>
    <hyperlink ref="A66" r:id="rId33" xr:uid="{00C4470D-59C0-4B6E-A870-CDE66707FA61}"/>
    <hyperlink ref="A65" r:id="rId34" display="PROV. AUTON. TRENTO" xr:uid="{79AB20E4-9E22-4418-8AF6-97167DE8C308}"/>
    <hyperlink ref="A63" r:id="rId35" xr:uid="{450769DD-0E8E-4E63-9624-E4E6D3141D6E}"/>
    <hyperlink ref="A61" r:id="rId36" xr:uid="{84968356-19C4-4F83-934A-81AB215C1EDD}"/>
    <hyperlink ref="A35" r:id="rId37" xr:uid="{D7CF2687-28AD-401D-90FF-6772B4F835F5}"/>
    <hyperlink ref="A37" r:id="rId38" xr:uid="{3FCB585C-E8CE-4E16-9EEB-05A404C424FA}"/>
    <hyperlink ref="A39" r:id="rId39" display="PROV. AUTON. TRENTO" xr:uid="{EA15C8B0-7F8F-476C-B8BF-C06CC5EEA511}"/>
    <hyperlink ref="A40" r:id="rId40" xr:uid="{519C61A2-31A4-48CE-8D6E-12E9985A479A}"/>
    <hyperlink ref="A41" r:id="rId41" xr:uid="{8F9CA124-B329-47FB-B421-12D2278C86AC}"/>
    <hyperlink ref="A42" r:id="rId42" xr:uid="{A3672DB0-1662-4619-B602-E299A673FD85}"/>
    <hyperlink ref="A43" r:id="rId43" xr:uid="{875924CB-17BB-4EA4-B716-51C1AD84333F}"/>
    <hyperlink ref="A44" r:id="rId44" xr:uid="{7CC3BFEF-0A16-474F-ABE7-AB4517174849}"/>
    <hyperlink ref="A45" r:id="rId45" xr:uid="{DB4EF835-BFA3-40E1-B0AF-4F5EA769B44D}"/>
    <hyperlink ref="A46" r:id="rId46" xr:uid="{97E774DD-7F25-49B1-BD88-2A01851648EE}"/>
    <hyperlink ref="A47" r:id="rId47" xr:uid="{0049E6F1-D07C-4FB7-9D8C-4745E6868EA3}"/>
    <hyperlink ref="A48" r:id="rId48" xr:uid="{4A6E5992-2056-43C2-BC11-ABB1F02622A4}"/>
    <hyperlink ref="A49" r:id="rId49" xr:uid="{FD936C56-CE32-4EB9-9A29-D769B7C16B33}"/>
    <hyperlink ref="A50" r:id="rId50" xr:uid="{3F1A0664-F5BE-4B98-BF34-3B0A70F3BC9A}"/>
    <hyperlink ref="A51" r:id="rId51" xr:uid="{D1D0919B-8F1C-490B-A7B2-6A39784BC466}"/>
    <hyperlink ref="A52" r:id="rId52" xr:uid="{0B5A1C26-B68A-471E-A650-72BF65715A37}"/>
    <hyperlink ref="A53" r:id="rId53" xr:uid="{9C4058C8-1AED-4BBC-BA5E-1089965ABEDF}"/>
    <hyperlink ref="A54" r:id="rId54" xr:uid="{BEC4EAA8-BAC0-412E-9838-83AAB318E0F5}"/>
  </hyperlinks>
  <pageMargins left="0.7" right="0.7" top="0.75" bottom="0.75" header="0.3" footer="0.3"/>
  <pageSetup scale="75" orientation="landscape" verticalDpi="0" r:id="rId5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63"/>
  <sheetViews>
    <sheetView topLeftCell="A551" zoomScale="71" zoomScaleNormal="71" workbookViewId="0">
      <selection activeCell="H565" sqref="H565"/>
    </sheetView>
  </sheetViews>
  <sheetFormatPr defaultColWidth="8.83203125" defaultRowHeight="14" x14ac:dyDescent="0.3"/>
  <cols>
    <col min="1" max="1" width="20" customWidth="1"/>
    <col min="2" max="2" width="14.5" bestFit="1" customWidth="1"/>
    <col min="3" max="3" width="15.5" customWidth="1"/>
    <col min="4" max="4" width="16.83203125" bestFit="1" customWidth="1"/>
    <col min="5" max="5" width="15.6640625" customWidth="1"/>
    <col min="6" max="6" width="16.33203125" customWidth="1"/>
    <col min="7" max="7" width="12.1640625" customWidth="1"/>
    <col min="8" max="8" width="16.1640625" customWidth="1"/>
    <col min="9" max="9" width="14.6640625" bestFit="1" customWidth="1"/>
    <col min="10" max="11" width="12.5" bestFit="1" customWidth="1"/>
    <col min="12" max="12" width="12.6640625" bestFit="1" customWidth="1"/>
  </cols>
  <sheetData>
    <row r="1" spans="1:13" ht="44.25" customHeight="1" x14ac:dyDescent="0.3">
      <c r="A1" s="478" t="s">
        <v>254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</row>
    <row r="2" spans="1:13" ht="14.5" thickBot="1" x14ac:dyDescent="0.35"/>
    <row r="3" spans="1:13" ht="14.25" customHeight="1" x14ac:dyDescent="0.3">
      <c r="A3" s="665" t="s">
        <v>76</v>
      </c>
      <c r="B3" s="667" t="s">
        <v>117</v>
      </c>
      <c r="C3" s="667"/>
      <c r="D3" s="667"/>
      <c r="E3" s="667"/>
      <c r="F3" s="667"/>
      <c r="G3" s="667"/>
      <c r="H3" s="667" t="s">
        <v>118</v>
      </c>
      <c r="I3" s="667"/>
      <c r="J3" s="667"/>
      <c r="K3" s="667"/>
      <c r="L3" s="667"/>
      <c r="M3" s="668"/>
    </row>
    <row r="4" spans="1:13" ht="14.25" customHeight="1" x14ac:dyDescent="0.3">
      <c r="A4" s="666"/>
      <c r="B4" s="669" t="s">
        <v>119</v>
      </c>
      <c r="C4" s="669"/>
      <c r="D4" s="244"/>
      <c r="E4" s="669" t="s">
        <v>120</v>
      </c>
      <c r="F4" s="669"/>
      <c r="G4" s="669"/>
      <c r="H4" s="669" t="s">
        <v>119</v>
      </c>
      <c r="I4" s="669"/>
      <c r="J4" s="669"/>
      <c r="K4" s="669" t="s">
        <v>120</v>
      </c>
      <c r="L4" s="669"/>
      <c r="M4" s="670"/>
    </row>
    <row r="5" spans="1:13" ht="39" x14ac:dyDescent="0.3">
      <c r="A5" s="666"/>
      <c r="B5" s="244" t="s">
        <v>121</v>
      </c>
      <c r="C5" s="244" t="s">
        <v>62</v>
      </c>
      <c r="D5" s="89" t="s">
        <v>122</v>
      </c>
      <c r="E5" s="244" t="s">
        <v>121</v>
      </c>
      <c r="F5" s="244" t="s">
        <v>123</v>
      </c>
      <c r="G5" s="89" t="s">
        <v>124</v>
      </c>
      <c r="H5" s="244" t="s">
        <v>121</v>
      </c>
      <c r="I5" s="244" t="s">
        <v>62</v>
      </c>
      <c r="J5" s="89" t="s">
        <v>122</v>
      </c>
      <c r="K5" s="244" t="s">
        <v>121</v>
      </c>
      <c r="L5" s="244" t="s">
        <v>123</v>
      </c>
      <c r="M5" s="90" t="s">
        <v>124</v>
      </c>
    </row>
    <row r="6" spans="1:13" x14ac:dyDescent="0.3">
      <c r="A6" s="79" t="s">
        <v>3</v>
      </c>
      <c r="B6" s="77">
        <v>12821</v>
      </c>
      <c r="C6" s="77">
        <v>231092</v>
      </c>
      <c r="D6" s="91">
        <v>18.024491069339366</v>
      </c>
      <c r="E6" s="77">
        <v>685</v>
      </c>
      <c r="F6" s="77">
        <v>6278</v>
      </c>
      <c r="G6" s="91">
        <v>9.1649635036496342</v>
      </c>
      <c r="H6" s="92">
        <v>7691</v>
      </c>
      <c r="I6" s="92">
        <v>93902</v>
      </c>
      <c r="J6" s="93">
        <v>12.209335587049798</v>
      </c>
      <c r="K6" s="92">
        <v>224</v>
      </c>
      <c r="L6" s="92">
        <v>3862</v>
      </c>
      <c r="M6" s="94">
        <v>17.241071428571427</v>
      </c>
    </row>
    <row r="7" spans="1:13" x14ac:dyDescent="0.3">
      <c r="A7" s="79" t="s">
        <v>96</v>
      </c>
      <c r="B7" s="77">
        <v>388</v>
      </c>
      <c r="C7" s="77">
        <v>4623</v>
      </c>
      <c r="D7" s="91">
        <v>11.914948453608247</v>
      </c>
      <c r="E7" s="77">
        <v>182</v>
      </c>
      <c r="F7" s="77">
        <v>1287</v>
      </c>
      <c r="G7" s="91">
        <v>7.0714285714285712</v>
      </c>
      <c r="H7" s="92">
        <v>362</v>
      </c>
      <c r="I7" s="92">
        <v>4127</v>
      </c>
      <c r="J7" s="93">
        <v>11.400552486187845</v>
      </c>
      <c r="K7" s="92">
        <v>88</v>
      </c>
      <c r="L7" s="92">
        <v>1174</v>
      </c>
      <c r="M7" s="94">
        <v>13.340909090909092</v>
      </c>
    </row>
    <row r="8" spans="1:13" x14ac:dyDescent="0.3">
      <c r="A8" s="79" t="s">
        <v>5</v>
      </c>
      <c r="B8" s="77">
        <v>21452</v>
      </c>
      <c r="C8" s="77">
        <v>327445</v>
      </c>
      <c r="D8" s="91">
        <v>15.264077941450681</v>
      </c>
      <c r="E8" s="77">
        <v>551</v>
      </c>
      <c r="F8" s="77">
        <v>5253</v>
      </c>
      <c r="G8" s="91">
        <v>9.5335753176043561</v>
      </c>
      <c r="H8" s="92">
        <v>15556</v>
      </c>
      <c r="I8" s="92">
        <v>216861</v>
      </c>
      <c r="J8" s="93">
        <v>13.940665980971973</v>
      </c>
      <c r="K8" s="92">
        <v>334</v>
      </c>
      <c r="L8" s="92">
        <v>3227</v>
      </c>
      <c r="M8" s="94">
        <v>9.6616766467065869</v>
      </c>
    </row>
    <row r="9" spans="1:13" x14ac:dyDescent="0.3">
      <c r="A9" s="79" t="s">
        <v>23</v>
      </c>
      <c r="B9" s="77">
        <v>2363</v>
      </c>
      <c r="C9" s="77">
        <v>27261</v>
      </c>
      <c r="D9" s="91">
        <v>11.5366060093102</v>
      </c>
      <c r="E9" s="77">
        <v>258</v>
      </c>
      <c r="F9" s="77">
        <v>2370</v>
      </c>
      <c r="G9" s="91">
        <v>9.1860465116279073</v>
      </c>
      <c r="H9" s="92">
        <v>1649</v>
      </c>
      <c r="I9" s="92">
        <v>19466</v>
      </c>
      <c r="J9" s="93">
        <v>11.804730139478472</v>
      </c>
      <c r="K9" s="92">
        <v>235</v>
      </c>
      <c r="L9" s="92">
        <v>2343</v>
      </c>
      <c r="M9" s="94">
        <v>9.9702127659574469</v>
      </c>
    </row>
    <row r="10" spans="1:13" x14ac:dyDescent="0.3">
      <c r="A10" s="79" t="s">
        <v>24</v>
      </c>
      <c r="B10" s="77">
        <v>1675</v>
      </c>
      <c r="C10" s="77">
        <v>23714</v>
      </c>
      <c r="D10" s="91">
        <v>14.157611940298507</v>
      </c>
      <c r="E10" s="77">
        <v>5</v>
      </c>
      <c r="F10" s="77">
        <v>5</v>
      </c>
      <c r="G10" s="91">
        <v>0</v>
      </c>
      <c r="H10" s="92">
        <v>910</v>
      </c>
      <c r="I10" s="92">
        <v>12049</v>
      </c>
      <c r="J10" s="93">
        <v>13.24065934065934</v>
      </c>
      <c r="K10" s="92">
        <v>0</v>
      </c>
      <c r="L10" s="92">
        <v>0</v>
      </c>
      <c r="M10" s="94">
        <v>0</v>
      </c>
    </row>
    <row r="11" spans="1:13" x14ac:dyDescent="0.3">
      <c r="A11" s="79" t="s">
        <v>6</v>
      </c>
      <c r="B11" s="77">
        <v>15137</v>
      </c>
      <c r="C11" s="77">
        <v>276467</v>
      </c>
      <c r="D11" s="91">
        <v>18.264319217810662</v>
      </c>
      <c r="E11" s="77">
        <v>622</v>
      </c>
      <c r="F11" s="77">
        <v>7927</v>
      </c>
      <c r="G11" s="91">
        <v>12.744372990353698</v>
      </c>
      <c r="H11" s="92">
        <v>9686</v>
      </c>
      <c r="I11" s="92">
        <v>141581</v>
      </c>
      <c r="J11" s="93">
        <v>14.617076192442701</v>
      </c>
      <c r="K11" s="92">
        <v>464</v>
      </c>
      <c r="L11" s="92">
        <v>5201</v>
      </c>
      <c r="M11" s="94">
        <v>11.209051724137931</v>
      </c>
    </row>
    <row r="12" spans="1:13" x14ac:dyDescent="0.3">
      <c r="A12" s="79" t="s">
        <v>22</v>
      </c>
      <c r="B12" s="77">
        <v>1633</v>
      </c>
      <c r="C12" s="77">
        <v>16379</v>
      </c>
      <c r="D12" s="91">
        <v>10.030006123698714</v>
      </c>
      <c r="E12" s="77">
        <v>136</v>
      </c>
      <c r="F12" s="77">
        <v>690</v>
      </c>
      <c r="G12" s="91">
        <v>0</v>
      </c>
      <c r="H12" s="92">
        <v>884</v>
      </c>
      <c r="I12" s="92">
        <v>7291</v>
      </c>
      <c r="J12" s="93">
        <v>8.247737556561086</v>
      </c>
      <c r="K12" s="92">
        <v>0</v>
      </c>
      <c r="L12" s="92">
        <v>0</v>
      </c>
      <c r="M12" s="94">
        <v>0</v>
      </c>
    </row>
    <row r="13" spans="1:13" x14ac:dyDescent="0.3">
      <c r="A13" s="79" t="s">
        <v>7</v>
      </c>
      <c r="B13" s="77">
        <v>4966</v>
      </c>
      <c r="C13" s="77">
        <v>56731</v>
      </c>
      <c r="D13" s="91">
        <v>11.42388240032219</v>
      </c>
      <c r="E13" s="77">
        <v>264</v>
      </c>
      <c r="F13" s="77">
        <v>3171</v>
      </c>
      <c r="G13" s="91">
        <v>12.011363636363637</v>
      </c>
      <c r="H13" s="92">
        <v>3897</v>
      </c>
      <c r="I13" s="92">
        <v>35981</v>
      </c>
      <c r="J13" s="93">
        <v>9.2329997433923534</v>
      </c>
      <c r="K13" s="92">
        <v>140</v>
      </c>
      <c r="L13" s="92">
        <v>1345</v>
      </c>
      <c r="M13" s="94">
        <v>9.6071428571428577</v>
      </c>
    </row>
    <row r="14" spans="1:13" x14ac:dyDescent="0.3">
      <c r="A14" s="79" t="s">
        <v>8</v>
      </c>
      <c r="B14" s="77">
        <v>15078</v>
      </c>
      <c r="C14" s="77">
        <v>201576</v>
      </c>
      <c r="D14" s="91">
        <v>13.368881814564265</v>
      </c>
      <c r="E14" s="77">
        <v>352</v>
      </c>
      <c r="F14" s="77">
        <v>4906</v>
      </c>
      <c r="G14" s="91">
        <v>13.9375</v>
      </c>
      <c r="H14" s="92">
        <v>10034</v>
      </c>
      <c r="I14" s="92">
        <v>111520</v>
      </c>
      <c r="J14" s="93">
        <v>11.114211680287024</v>
      </c>
      <c r="K14" s="92">
        <v>141</v>
      </c>
      <c r="L14" s="92">
        <v>1532</v>
      </c>
      <c r="M14" s="94">
        <v>10.865248226950355</v>
      </c>
    </row>
    <row r="15" spans="1:13" x14ac:dyDescent="0.3">
      <c r="A15" s="79" t="s">
        <v>9</v>
      </c>
      <c r="B15" s="77">
        <v>7721</v>
      </c>
      <c r="C15" s="77">
        <v>102203</v>
      </c>
      <c r="D15" s="91">
        <v>13.237015930578941</v>
      </c>
      <c r="E15" s="77">
        <v>2717</v>
      </c>
      <c r="F15" s="77">
        <v>18453</v>
      </c>
      <c r="G15" s="91">
        <v>6.7916820022083177</v>
      </c>
      <c r="H15" s="92">
        <v>6040</v>
      </c>
      <c r="I15" s="92">
        <v>74091</v>
      </c>
      <c r="J15" s="93">
        <v>12.266721854304636</v>
      </c>
      <c r="K15" s="92">
        <v>2538</v>
      </c>
      <c r="L15" s="92">
        <v>17872</v>
      </c>
      <c r="M15" s="94">
        <v>7.0417651694247443</v>
      </c>
    </row>
    <row r="16" spans="1:13" x14ac:dyDescent="0.3">
      <c r="A16" s="79" t="s">
        <v>10</v>
      </c>
      <c r="B16" s="77">
        <v>1224</v>
      </c>
      <c r="C16" s="77">
        <v>13168</v>
      </c>
      <c r="D16" s="91">
        <v>10.758169934640524</v>
      </c>
      <c r="E16" s="77">
        <v>117</v>
      </c>
      <c r="F16" s="77">
        <v>636</v>
      </c>
      <c r="G16" s="91">
        <v>5.4358974358974361</v>
      </c>
      <c r="H16" s="92">
        <v>805</v>
      </c>
      <c r="I16" s="92">
        <v>10513</v>
      </c>
      <c r="J16" s="93">
        <v>13.059627329192546</v>
      </c>
      <c r="K16" s="92">
        <v>107</v>
      </c>
      <c r="L16" s="92">
        <v>626</v>
      </c>
      <c r="M16" s="94">
        <v>5.8504672897196262</v>
      </c>
    </row>
    <row r="17" spans="1:13" x14ac:dyDescent="0.3">
      <c r="A17" s="79" t="s">
        <v>11</v>
      </c>
      <c r="B17" s="77">
        <v>3618</v>
      </c>
      <c r="C17" s="77">
        <v>63866</v>
      </c>
      <c r="D17" s="91">
        <v>17.652294085129906</v>
      </c>
      <c r="E17" s="77">
        <v>170</v>
      </c>
      <c r="F17" s="77">
        <v>342</v>
      </c>
      <c r="G17" s="91">
        <v>2.0117647058823529</v>
      </c>
      <c r="H17" s="92">
        <v>2421</v>
      </c>
      <c r="I17" s="92">
        <v>37142</v>
      </c>
      <c r="J17" s="93">
        <v>15.341594382486576</v>
      </c>
      <c r="K17" s="92">
        <v>159</v>
      </c>
      <c r="L17" s="92">
        <v>292</v>
      </c>
      <c r="M17" s="94">
        <v>1.8364779874213837</v>
      </c>
    </row>
    <row r="18" spans="1:13" x14ac:dyDescent="0.3">
      <c r="A18" s="79" t="s">
        <v>12</v>
      </c>
      <c r="B18" s="77">
        <v>8774</v>
      </c>
      <c r="C18" s="77">
        <v>95664</v>
      </c>
      <c r="D18" s="91">
        <v>10.903122863004331</v>
      </c>
      <c r="E18" s="77">
        <v>3665</v>
      </c>
      <c r="F18" s="77">
        <v>19418</v>
      </c>
      <c r="G18" s="91">
        <v>5.2982264665757164</v>
      </c>
      <c r="H18" s="92">
        <v>7292</v>
      </c>
      <c r="I18" s="92">
        <v>73336</v>
      </c>
      <c r="J18" s="93">
        <v>10.057048820625344</v>
      </c>
      <c r="K18" s="92">
        <v>3028</v>
      </c>
      <c r="L18" s="92">
        <v>15725</v>
      </c>
      <c r="M18" s="94">
        <v>5.1931968295904891</v>
      </c>
    </row>
    <row r="19" spans="1:13" x14ac:dyDescent="0.3">
      <c r="A19" s="79" t="s">
        <v>13</v>
      </c>
      <c r="B19" s="77">
        <v>1860</v>
      </c>
      <c r="C19" s="77">
        <v>23220</v>
      </c>
      <c r="D19" s="91">
        <v>12.483870967741936</v>
      </c>
      <c r="E19" s="77">
        <v>189</v>
      </c>
      <c r="F19" s="77">
        <v>1866</v>
      </c>
      <c r="G19" s="91">
        <v>9.8730158730158735</v>
      </c>
      <c r="H19" s="92">
        <v>1699</v>
      </c>
      <c r="I19" s="92">
        <v>21557</v>
      </c>
      <c r="J19" s="93">
        <v>12.688051795173632</v>
      </c>
      <c r="K19" s="92">
        <v>110</v>
      </c>
      <c r="L19" s="92">
        <v>1704</v>
      </c>
      <c r="M19" s="94">
        <v>15.49090909090909</v>
      </c>
    </row>
    <row r="20" spans="1:13" x14ac:dyDescent="0.3">
      <c r="A20" s="79" t="s">
        <v>14</v>
      </c>
      <c r="B20" s="77">
        <v>414</v>
      </c>
      <c r="C20" s="77">
        <v>4197</v>
      </c>
      <c r="D20" s="91">
        <v>10.137681159420289</v>
      </c>
      <c r="E20" s="77">
        <v>42</v>
      </c>
      <c r="F20" s="77">
        <v>163</v>
      </c>
      <c r="G20" s="91">
        <v>3.8809523809523809</v>
      </c>
      <c r="H20" s="92">
        <v>316</v>
      </c>
      <c r="I20" s="92">
        <v>3804</v>
      </c>
      <c r="J20" s="93">
        <v>12.037974683544304</v>
      </c>
      <c r="K20" s="92">
        <v>3</v>
      </c>
      <c r="L20" s="92">
        <v>14</v>
      </c>
      <c r="M20" s="94">
        <v>4.666666666666667</v>
      </c>
    </row>
    <row r="21" spans="1:13" x14ac:dyDescent="0.3">
      <c r="A21" s="79" t="s">
        <v>15</v>
      </c>
      <c r="B21" s="77">
        <v>4917</v>
      </c>
      <c r="C21" s="77">
        <v>47641</v>
      </c>
      <c r="D21" s="91">
        <v>9.6890380313199103</v>
      </c>
      <c r="E21" s="77">
        <v>1196</v>
      </c>
      <c r="F21" s="77">
        <v>6955</v>
      </c>
      <c r="G21" s="91">
        <v>5.8152173913043477</v>
      </c>
      <c r="H21" s="92">
        <v>3761</v>
      </c>
      <c r="I21" s="92">
        <v>40003</v>
      </c>
      <c r="J21" s="93">
        <v>10.636266950279181</v>
      </c>
      <c r="K21" s="92">
        <v>1074</v>
      </c>
      <c r="L21" s="92">
        <v>6594</v>
      </c>
      <c r="M21" s="94">
        <v>6.1396648044692741</v>
      </c>
    </row>
    <row r="22" spans="1:13" x14ac:dyDescent="0.3">
      <c r="A22" s="79" t="s">
        <v>16</v>
      </c>
      <c r="B22" s="77">
        <v>6163</v>
      </c>
      <c r="C22" s="77">
        <v>71373</v>
      </c>
      <c r="D22" s="91">
        <v>11.580885932175889</v>
      </c>
      <c r="E22" s="77">
        <v>652</v>
      </c>
      <c r="F22" s="77">
        <v>4761</v>
      </c>
      <c r="G22" s="91">
        <v>7.302147239263804</v>
      </c>
      <c r="H22" s="92">
        <v>5664</v>
      </c>
      <c r="I22" s="92">
        <v>66720</v>
      </c>
      <c r="J22" s="93">
        <v>11.779661016949152</v>
      </c>
      <c r="K22" s="92">
        <v>628</v>
      </c>
      <c r="L22" s="92">
        <v>4533</v>
      </c>
      <c r="M22" s="94">
        <v>7.218152866242038</v>
      </c>
    </row>
    <row r="23" spans="1:13" x14ac:dyDescent="0.3">
      <c r="A23" s="79" t="s">
        <v>17</v>
      </c>
      <c r="B23" s="77">
        <v>674</v>
      </c>
      <c r="C23" s="77">
        <v>8636</v>
      </c>
      <c r="D23" s="91">
        <v>12.813056379821958</v>
      </c>
      <c r="E23" s="77">
        <v>119</v>
      </c>
      <c r="F23" s="77">
        <v>494</v>
      </c>
      <c r="G23" s="91">
        <v>4.151260504201681</v>
      </c>
      <c r="H23" s="92">
        <v>560</v>
      </c>
      <c r="I23" s="92">
        <v>7760</v>
      </c>
      <c r="J23" s="93">
        <v>13.857142857142858</v>
      </c>
      <c r="K23" s="92">
        <v>113</v>
      </c>
      <c r="L23" s="92">
        <v>485</v>
      </c>
      <c r="M23" s="94">
        <v>4.2920353982300883</v>
      </c>
    </row>
    <row r="24" spans="1:13" x14ac:dyDescent="0.3">
      <c r="A24" s="79" t="s">
        <v>18</v>
      </c>
      <c r="B24" s="77">
        <v>2211</v>
      </c>
      <c r="C24" s="77">
        <v>24935</v>
      </c>
      <c r="D24" s="91">
        <v>11.277702397105383</v>
      </c>
      <c r="E24" s="77">
        <v>481</v>
      </c>
      <c r="F24" s="77">
        <v>1599</v>
      </c>
      <c r="G24" s="91">
        <v>3.3243243243243241</v>
      </c>
      <c r="H24" s="92">
        <v>1996</v>
      </c>
      <c r="I24" s="92">
        <v>23053</v>
      </c>
      <c r="J24" s="93">
        <v>11.549599198396793</v>
      </c>
      <c r="K24" s="92">
        <v>205</v>
      </c>
      <c r="L24" s="92">
        <v>1077</v>
      </c>
      <c r="M24" s="94">
        <v>5.2536585365853661</v>
      </c>
    </row>
    <row r="25" spans="1:13" x14ac:dyDescent="0.3">
      <c r="A25" s="79" t="s">
        <v>19</v>
      </c>
      <c r="B25" s="77">
        <v>11814</v>
      </c>
      <c r="C25" s="77">
        <v>154457</v>
      </c>
      <c r="D25" s="91">
        <v>13.074064669036735</v>
      </c>
      <c r="E25" s="77">
        <v>932</v>
      </c>
      <c r="F25" s="77">
        <v>6553</v>
      </c>
      <c r="G25" s="91">
        <v>7.0311158798283264</v>
      </c>
      <c r="H25" s="92">
        <v>9771</v>
      </c>
      <c r="I25" s="92">
        <v>115523</v>
      </c>
      <c r="J25" s="93">
        <v>11.823047794493911</v>
      </c>
      <c r="K25" s="92">
        <v>132</v>
      </c>
      <c r="L25" s="92">
        <v>850</v>
      </c>
      <c r="M25" s="94">
        <v>6.4393939393939394</v>
      </c>
    </row>
    <row r="26" spans="1:13" x14ac:dyDescent="0.3">
      <c r="A26" s="79" t="s">
        <v>20</v>
      </c>
      <c r="B26" s="77">
        <v>2994</v>
      </c>
      <c r="C26" s="77">
        <v>30116</v>
      </c>
      <c r="D26" s="91">
        <v>10.05878423513694</v>
      </c>
      <c r="E26" s="77">
        <v>85</v>
      </c>
      <c r="F26" s="77">
        <v>272</v>
      </c>
      <c r="G26" s="91">
        <v>3.2</v>
      </c>
      <c r="H26" s="92">
        <v>2522</v>
      </c>
      <c r="I26" s="92">
        <v>25380</v>
      </c>
      <c r="J26" s="93">
        <v>10.063441712926249</v>
      </c>
      <c r="K26" s="92">
        <v>57</v>
      </c>
      <c r="L26" s="92">
        <v>203</v>
      </c>
      <c r="M26" s="94">
        <v>3.5614035087719298</v>
      </c>
    </row>
    <row r="27" spans="1:13" ht="14.5" thickBot="1" x14ac:dyDescent="0.35">
      <c r="A27" s="83" t="s">
        <v>1</v>
      </c>
      <c r="B27" s="95">
        <v>127897</v>
      </c>
      <c r="C27" s="95">
        <v>1804764</v>
      </c>
      <c r="D27" s="96">
        <v>14.111073754661955</v>
      </c>
      <c r="E27" s="95">
        <v>13420</v>
      </c>
      <c r="F27" s="95">
        <v>93399</v>
      </c>
      <c r="G27" s="96">
        <v>6.9596870342771986</v>
      </c>
      <c r="H27" s="95">
        <v>93516</v>
      </c>
      <c r="I27" s="95">
        <v>1141660</v>
      </c>
      <c r="J27" s="96">
        <v>12.20817827965268</v>
      </c>
      <c r="K27" s="95">
        <v>9780</v>
      </c>
      <c r="L27" s="95">
        <v>68659</v>
      </c>
      <c r="M27" s="97">
        <v>7.0203476482617591</v>
      </c>
    </row>
    <row r="30" spans="1:13" ht="33" customHeight="1" x14ac:dyDescent="0.3">
      <c r="A30" s="478" t="s">
        <v>255</v>
      </c>
      <c r="B30" s="672"/>
      <c r="C30" s="672"/>
      <c r="D30" s="672"/>
      <c r="E30" s="672"/>
      <c r="F30" s="672"/>
      <c r="G30" s="672"/>
      <c r="H30" s="672"/>
      <c r="I30" s="672"/>
      <c r="J30" s="672"/>
      <c r="K30" s="672"/>
    </row>
    <row r="31" spans="1:13" ht="14.5" thickBot="1" x14ac:dyDescent="0.35"/>
    <row r="32" spans="1:13" x14ac:dyDescent="0.3">
      <c r="A32" s="98" t="s">
        <v>2</v>
      </c>
      <c r="B32" s="99">
        <v>2015</v>
      </c>
      <c r="C32" s="99">
        <v>2016</v>
      </c>
      <c r="D32" s="99">
        <v>2017</v>
      </c>
      <c r="E32" s="99">
        <v>2018</v>
      </c>
      <c r="F32" s="99">
        <v>2019</v>
      </c>
      <c r="G32" s="99">
        <v>2020</v>
      </c>
      <c r="H32" s="99">
        <v>2021</v>
      </c>
      <c r="I32" s="99">
        <v>2022</v>
      </c>
      <c r="J32" s="99">
        <v>2023</v>
      </c>
      <c r="K32" s="99">
        <v>2024</v>
      </c>
    </row>
    <row r="33" spans="1:11" x14ac:dyDescent="0.3">
      <c r="A33" s="79" t="s">
        <v>3</v>
      </c>
      <c r="B33" s="114">
        <v>512</v>
      </c>
      <c r="C33" s="114">
        <v>525</v>
      </c>
      <c r="D33" s="114">
        <v>474</v>
      </c>
      <c r="E33" s="114">
        <v>401</v>
      </c>
      <c r="F33" s="114">
        <v>406</v>
      </c>
      <c r="G33" s="114">
        <v>336</v>
      </c>
      <c r="H33" s="114">
        <v>384</v>
      </c>
      <c r="I33" s="114">
        <v>391</v>
      </c>
      <c r="J33" s="114">
        <v>371</v>
      </c>
      <c r="K33" s="114">
        <v>346</v>
      </c>
    </row>
    <row r="34" spans="1:11" x14ac:dyDescent="0.3">
      <c r="A34" s="79" t="s">
        <v>96</v>
      </c>
      <c r="B34" s="114">
        <v>32</v>
      </c>
      <c r="C34" s="114">
        <v>30</v>
      </c>
      <c r="D34" s="114">
        <v>27</v>
      </c>
      <c r="E34" s="114">
        <v>21</v>
      </c>
      <c r="F34" s="114">
        <v>17</v>
      </c>
      <c r="G34" s="114">
        <v>25</v>
      </c>
      <c r="H34" s="114">
        <v>24</v>
      </c>
      <c r="I34" s="114">
        <v>21</v>
      </c>
      <c r="J34" s="114">
        <v>14</v>
      </c>
      <c r="K34" s="114">
        <v>16</v>
      </c>
    </row>
    <row r="35" spans="1:11" x14ac:dyDescent="0.3">
      <c r="A35" s="79" t="s">
        <v>5</v>
      </c>
      <c r="B35" s="114">
        <v>797</v>
      </c>
      <c r="C35" s="114">
        <v>829</v>
      </c>
      <c r="D35" s="114">
        <v>938</v>
      </c>
      <c r="E35" s="114">
        <v>926</v>
      </c>
      <c r="F35" s="114">
        <v>818</v>
      </c>
      <c r="G35" s="114">
        <v>716</v>
      </c>
      <c r="H35" s="114">
        <v>681</v>
      </c>
      <c r="I35" s="114">
        <v>544</v>
      </c>
      <c r="J35" s="114">
        <v>527</v>
      </c>
      <c r="K35" s="114">
        <v>464</v>
      </c>
    </row>
    <row r="36" spans="1:11" x14ac:dyDescent="0.3">
      <c r="A36" s="79" t="s">
        <v>23</v>
      </c>
      <c r="B36" s="114">
        <v>9</v>
      </c>
      <c r="C36" s="114">
        <v>20</v>
      </c>
      <c r="D36" s="114">
        <v>20</v>
      </c>
      <c r="E36" s="114">
        <v>15</v>
      </c>
      <c r="F36" s="114">
        <v>18</v>
      </c>
      <c r="G36" s="114">
        <v>19</v>
      </c>
      <c r="H36" s="114">
        <v>10</v>
      </c>
      <c r="I36" s="114">
        <v>13</v>
      </c>
      <c r="J36" s="114">
        <v>6</v>
      </c>
      <c r="K36" s="114">
        <v>6</v>
      </c>
    </row>
    <row r="37" spans="1:11" x14ac:dyDescent="0.3">
      <c r="A37" s="79" t="s">
        <v>24</v>
      </c>
      <c r="B37" s="114">
        <v>42</v>
      </c>
      <c r="C37" s="114">
        <v>43</v>
      </c>
      <c r="D37" s="114">
        <v>62</v>
      </c>
      <c r="E37" s="114">
        <v>80</v>
      </c>
      <c r="F37" s="114">
        <v>66</v>
      </c>
      <c r="G37" s="114">
        <v>48</v>
      </c>
      <c r="H37" s="114">
        <v>37</v>
      </c>
      <c r="I37" s="114">
        <v>38</v>
      </c>
      <c r="J37" s="114">
        <v>46</v>
      </c>
      <c r="K37" s="114">
        <v>33</v>
      </c>
    </row>
    <row r="38" spans="1:11" x14ac:dyDescent="0.3">
      <c r="A38" s="79" t="s">
        <v>6</v>
      </c>
      <c r="B38" s="114">
        <v>403</v>
      </c>
      <c r="C38" s="114">
        <v>376</v>
      </c>
      <c r="D38" s="114">
        <v>395</v>
      </c>
      <c r="E38" s="114">
        <v>322</v>
      </c>
      <c r="F38" s="114">
        <v>331</v>
      </c>
      <c r="G38" s="114">
        <v>255</v>
      </c>
      <c r="H38" s="114">
        <v>215</v>
      </c>
      <c r="I38" s="114">
        <v>209</v>
      </c>
      <c r="J38" s="114">
        <v>226</v>
      </c>
      <c r="K38" s="114">
        <v>187</v>
      </c>
    </row>
    <row r="39" spans="1:11" x14ac:dyDescent="0.3">
      <c r="A39" s="79" t="s">
        <v>22</v>
      </c>
      <c r="B39" s="114">
        <v>45</v>
      </c>
      <c r="C39" s="114">
        <v>46</v>
      </c>
      <c r="D39" s="114">
        <v>36</v>
      </c>
      <c r="E39" s="114">
        <v>43</v>
      </c>
      <c r="F39" s="114">
        <v>42</v>
      </c>
      <c r="G39" s="114">
        <v>69</v>
      </c>
      <c r="H39" s="114">
        <v>88</v>
      </c>
      <c r="I39" s="114">
        <v>98</v>
      </c>
      <c r="J39" s="114">
        <v>84</v>
      </c>
      <c r="K39" s="114">
        <v>110</v>
      </c>
    </row>
    <row r="40" spans="1:11" x14ac:dyDescent="0.3">
      <c r="A40" s="79" t="s">
        <v>7</v>
      </c>
      <c r="B40" s="114">
        <v>162</v>
      </c>
      <c r="C40" s="114">
        <v>145</v>
      </c>
      <c r="D40" s="114">
        <v>201</v>
      </c>
      <c r="E40" s="114">
        <v>205</v>
      </c>
      <c r="F40" s="114">
        <v>215</v>
      </c>
      <c r="G40" s="114">
        <v>182</v>
      </c>
      <c r="H40" s="114">
        <v>174</v>
      </c>
      <c r="I40" s="114">
        <v>152</v>
      </c>
      <c r="J40" s="114">
        <v>136</v>
      </c>
      <c r="K40" s="114">
        <v>125</v>
      </c>
    </row>
    <row r="41" spans="1:11" x14ac:dyDescent="0.3">
      <c r="A41" s="79" t="s">
        <v>8</v>
      </c>
      <c r="B41" s="114">
        <v>986</v>
      </c>
      <c r="C41" s="114">
        <v>995</v>
      </c>
      <c r="D41" s="114">
        <v>929</v>
      </c>
      <c r="E41" s="114">
        <v>910</v>
      </c>
      <c r="F41" s="114">
        <v>921</v>
      </c>
      <c r="G41" s="114">
        <v>810</v>
      </c>
      <c r="H41" s="114">
        <v>852</v>
      </c>
      <c r="I41" s="114">
        <v>793</v>
      </c>
      <c r="J41" s="114">
        <v>832</v>
      </c>
      <c r="K41" s="114">
        <v>887</v>
      </c>
    </row>
    <row r="42" spans="1:11" x14ac:dyDescent="0.3">
      <c r="A42" s="79" t="s">
        <v>9</v>
      </c>
      <c r="B42" s="114">
        <v>368</v>
      </c>
      <c r="C42" s="114">
        <v>293</v>
      </c>
      <c r="D42" s="114">
        <v>220</v>
      </c>
      <c r="E42" s="114">
        <v>230</v>
      </c>
      <c r="F42" s="114">
        <v>204</v>
      </c>
      <c r="G42" s="114">
        <v>129</v>
      </c>
      <c r="H42" s="114">
        <v>139</v>
      </c>
      <c r="I42" s="114">
        <v>169</v>
      </c>
      <c r="J42" s="114">
        <v>163</v>
      </c>
      <c r="K42" s="114">
        <v>180</v>
      </c>
    </row>
    <row r="43" spans="1:11" x14ac:dyDescent="0.3">
      <c r="A43" s="79" t="s">
        <v>10</v>
      </c>
      <c r="B43" s="114">
        <v>147</v>
      </c>
      <c r="C43" s="114">
        <v>179</v>
      </c>
      <c r="D43" s="114">
        <v>194</v>
      </c>
      <c r="E43" s="114">
        <v>213</v>
      </c>
      <c r="F43" s="114">
        <v>222</v>
      </c>
      <c r="G43" s="114">
        <v>190</v>
      </c>
      <c r="H43" s="114">
        <v>181</v>
      </c>
      <c r="I43" s="114">
        <v>166</v>
      </c>
      <c r="J43" s="114">
        <v>190</v>
      </c>
      <c r="K43" s="114">
        <v>164</v>
      </c>
    </row>
    <row r="44" spans="1:11" x14ac:dyDescent="0.3">
      <c r="A44" s="79" t="s">
        <v>11</v>
      </c>
      <c r="B44" s="114">
        <v>253</v>
      </c>
      <c r="C44" s="114">
        <v>252</v>
      </c>
      <c r="D44" s="114">
        <v>178</v>
      </c>
      <c r="E44" s="114">
        <v>245</v>
      </c>
      <c r="F44" s="114">
        <v>261</v>
      </c>
      <c r="G44" s="114">
        <v>166</v>
      </c>
      <c r="H44" s="114">
        <v>169</v>
      </c>
      <c r="I44" s="114">
        <v>127</v>
      </c>
      <c r="J44" s="114">
        <v>86</v>
      </c>
      <c r="K44" s="114">
        <v>103</v>
      </c>
    </row>
    <row r="45" spans="1:11" x14ac:dyDescent="0.3">
      <c r="A45" s="79" t="s">
        <v>12</v>
      </c>
      <c r="B45" s="114">
        <v>717</v>
      </c>
      <c r="C45" s="114">
        <v>615</v>
      </c>
      <c r="D45" s="114">
        <v>541</v>
      </c>
      <c r="E45" s="114">
        <v>545</v>
      </c>
      <c r="F45" s="114">
        <v>387</v>
      </c>
      <c r="G45" s="114">
        <v>318</v>
      </c>
      <c r="H45" s="114">
        <v>341</v>
      </c>
      <c r="I45" s="114">
        <v>244</v>
      </c>
      <c r="J45" s="114">
        <v>214</v>
      </c>
      <c r="K45" s="114">
        <v>181</v>
      </c>
    </row>
    <row r="46" spans="1:11" x14ac:dyDescent="0.3">
      <c r="A46" s="79" t="s">
        <v>13</v>
      </c>
      <c r="B46" s="114">
        <v>168</v>
      </c>
      <c r="C46" s="114">
        <v>156</v>
      </c>
      <c r="D46" s="114">
        <v>223</v>
      </c>
      <c r="E46" s="114">
        <v>246</v>
      </c>
      <c r="F46" s="114">
        <v>233</v>
      </c>
      <c r="G46" s="114">
        <v>204</v>
      </c>
      <c r="H46" s="114">
        <v>179</v>
      </c>
      <c r="I46" s="114">
        <v>185</v>
      </c>
      <c r="J46" s="114">
        <v>128</v>
      </c>
      <c r="K46" s="114">
        <v>84</v>
      </c>
    </row>
    <row r="47" spans="1:11" x14ac:dyDescent="0.3">
      <c r="A47" s="79" t="s">
        <v>14</v>
      </c>
      <c r="B47" s="114">
        <v>43</v>
      </c>
      <c r="C47" s="114">
        <v>19</v>
      </c>
      <c r="D47" s="114">
        <v>24</v>
      </c>
      <c r="E47" s="114">
        <v>26</v>
      </c>
      <c r="F47" s="114">
        <v>16</v>
      </c>
      <c r="G47" s="114">
        <v>27</v>
      </c>
      <c r="H47" s="114">
        <v>23</v>
      </c>
      <c r="I47" s="114">
        <v>10</v>
      </c>
      <c r="J47" s="114">
        <v>16</v>
      </c>
      <c r="K47" s="114">
        <v>15</v>
      </c>
    </row>
    <row r="48" spans="1:11" x14ac:dyDescent="0.3">
      <c r="A48" s="79" t="s">
        <v>15</v>
      </c>
      <c r="B48" s="114">
        <v>903</v>
      </c>
      <c r="C48" s="114">
        <v>755</v>
      </c>
      <c r="D48" s="114">
        <v>489</v>
      </c>
      <c r="E48" s="114">
        <v>402</v>
      </c>
      <c r="F48" s="114">
        <v>307</v>
      </c>
      <c r="G48" s="114">
        <v>179</v>
      </c>
      <c r="H48" s="114">
        <v>211</v>
      </c>
      <c r="I48" s="114">
        <v>261</v>
      </c>
      <c r="J48" s="114">
        <v>316</v>
      </c>
      <c r="K48" s="114">
        <v>328</v>
      </c>
    </row>
    <row r="49" spans="1:11" x14ac:dyDescent="0.3">
      <c r="A49" s="79" t="s">
        <v>16</v>
      </c>
      <c r="B49" s="114">
        <v>700</v>
      </c>
      <c r="C49" s="114">
        <v>738</v>
      </c>
      <c r="D49" s="114">
        <v>751</v>
      </c>
      <c r="E49" s="114">
        <v>657</v>
      </c>
      <c r="F49" s="114">
        <v>613</v>
      </c>
      <c r="G49" s="114">
        <v>437</v>
      </c>
      <c r="H49" s="114">
        <v>412</v>
      </c>
      <c r="I49" s="114">
        <v>378</v>
      </c>
      <c r="J49" s="114">
        <v>318</v>
      </c>
      <c r="K49" s="114">
        <v>404</v>
      </c>
    </row>
    <row r="50" spans="1:11" x14ac:dyDescent="0.3">
      <c r="A50" s="79" t="s">
        <v>17</v>
      </c>
      <c r="B50" s="114">
        <v>35</v>
      </c>
      <c r="C50" s="114">
        <v>26</v>
      </c>
      <c r="D50" s="114">
        <v>31</v>
      </c>
      <c r="E50" s="114">
        <v>20</v>
      </c>
      <c r="F50" s="114">
        <v>20</v>
      </c>
      <c r="G50" s="114">
        <v>15</v>
      </c>
      <c r="H50" s="114">
        <v>10</v>
      </c>
      <c r="I50" s="114">
        <v>5</v>
      </c>
      <c r="J50" s="114">
        <v>0</v>
      </c>
      <c r="K50" s="114">
        <v>2</v>
      </c>
    </row>
    <row r="51" spans="1:11" x14ac:dyDescent="0.3">
      <c r="A51" s="79" t="s">
        <v>18</v>
      </c>
      <c r="B51" s="114">
        <v>345</v>
      </c>
      <c r="C51" s="114">
        <v>389</v>
      </c>
      <c r="D51" s="114">
        <v>359</v>
      </c>
      <c r="E51" s="114">
        <v>314</v>
      </c>
      <c r="F51" s="114">
        <v>239</v>
      </c>
      <c r="G51" s="114">
        <v>162</v>
      </c>
      <c r="H51" s="114">
        <v>189</v>
      </c>
      <c r="I51" s="114">
        <v>183</v>
      </c>
      <c r="J51" s="114">
        <v>146</v>
      </c>
      <c r="K51" s="114">
        <v>103</v>
      </c>
    </row>
    <row r="52" spans="1:11" x14ac:dyDescent="0.3">
      <c r="A52" s="79" t="s">
        <v>19</v>
      </c>
      <c r="B52" s="114">
        <v>1290</v>
      </c>
      <c r="C52" s="114">
        <v>1199</v>
      </c>
      <c r="D52" s="114">
        <v>1203</v>
      </c>
      <c r="E52" s="114">
        <v>1245</v>
      </c>
      <c r="F52" s="114">
        <v>1098</v>
      </c>
      <c r="G52" s="114">
        <v>857</v>
      </c>
      <c r="H52" s="114">
        <v>966</v>
      </c>
      <c r="I52" s="114">
        <v>845</v>
      </c>
      <c r="J52" s="114">
        <v>813</v>
      </c>
      <c r="K52" s="114">
        <v>624</v>
      </c>
    </row>
    <row r="53" spans="1:11" x14ac:dyDescent="0.3">
      <c r="A53" s="79" t="s">
        <v>20</v>
      </c>
      <c r="B53" s="114">
        <v>332</v>
      </c>
      <c r="C53" s="114">
        <v>333</v>
      </c>
      <c r="D53" s="114">
        <v>313</v>
      </c>
      <c r="E53" s="114">
        <v>341</v>
      </c>
      <c r="F53" s="114">
        <v>303</v>
      </c>
      <c r="G53" s="114">
        <v>254</v>
      </c>
      <c r="H53" s="114">
        <v>253</v>
      </c>
      <c r="I53" s="114">
        <v>286</v>
      </c>
      <c r="J53" s="114">
        <v>247</v>
      </c>
      <c r="K53" s="114">
        <v>224</v>
      </c>
    </row>
    <row r="54" spans="1:11" ht="14.5" thickBot="1" x14ac:dyDescent="0.35">
      <c r="A54" s="100" t="s">
        <v>1</v>
      </c>
      <c r="B54" s="115">
        <v>8289</v>
      </c>
      <c r="C54" s="115">
        <v>7963</v>
      </c>
      <c r="D54" s="115">
        <v>7608</v>
      </c>
      <c r="E54" s="115">
        <v>7407</v>
      </c>
      <c r="F54" s="115">
        <v>6737</v>
      </c>
      <c r="G54" s="115">
        <v>5398</v>
      </c>
      <c r="H54" s="115">
        <v>5538</v>
      </c>
      <c r="I54" s="115">
        <v>5118</v>
      </c>
      <c r="J54" s="115">
        <v>4879</v>
      </c>
      <c r="K54" s="115">
        <v>4586</v>
      </c>
    </row>
    <row r="57" spans="1:11" ht="31.5" customHeight="1" x14ac:dyDescent="0.3">
      <c r="A57" s="478" t="s">
        <v>256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</row>
    <row r="58" spans="1:11" ht="14.5" thickBot="1" x14ac:dyDescent="0.35"/>
    <row r="59" spans="1:11" x14ac:dyDescent="0.3">
      <c r="A59" s="98" t="s">
        <v>2</v>
      </c>
      <c r="B59" s="99" t="s">
        <v>159</v>
      </c>
    </row>
    <row r="60" spans="1:11" x14ac:dyDescent="0.3">
      <c r="A60" s="79" t="s">
        <v>3</v>
      </c>
      <c r="B60" s="378">
        <v>0.94897399728966447</v>
      </c>
    </row>
    <row r="61" spans="1:11" x14ac:dyDescent="0.3">
      <c r="A61" s="79" t="s">
        <v>96</v>
      </c>
      <c r="B61" s="378">
        <v>1.5287744006726607</v>
      </c>
    </row>
    <row r="62" spans="1:11" x14ac:dyDescent="0.3">
      <c r="A62" s="79" t="s">
        <v>5</v>
      </c>
      <c r="B62" s="378">
        <v>0.54855867390669544</v>
      </c>
    </row>
    <row r="63" spans="1:11" x14ac:dyDescent="0.3">
      <c r="A63" s="79" t="s">
        <v>23</v>
      </c>
      <c r="B63" s="378">
        <v>0.13678580710465482</v>
      </c>
    </row>
    <row r="64" spans="1:11" x14ac:dyDescent="0.3">
      <c r="A64" s="79" t="s">
        <v>24</v>
      </c>
      <c r="B64" s="378">
        <v>0.72280131506033196</v>
      </c>
    </row>
    <row r="65" spans="1:2" x14ac:dyDescent="0.3">
      <c r="A65" s="79" t="s">
        <v>6</v>
      </c>
      <c r="B65" s="378">
        <v>0.45345733330229454</v>
      </c>
    </row>
    <row r="66" spans="1:2" x14ac:dyDescent="0.3">
      <c r="A66" s="79" t="s">
        <v>22</v>
      </c>
      <c r="B66" s="378">
        <v>1.0690156503891217</v>
      </c>
    </row>
    <row r="67" spans="1:2" x14ac:dyDescent="0.3">
      <c r="A67" s="79" t="s">
        <v>7</v>
      </c>
      <c r="B67" s="378">
        <v>0.95324522805438827</v>
      </c>
    </row>
    <row r="68" spans="1:2" x14ac:dyDescent="0.3">
      <c r="A68" s="79" t="s">
        <v>8</v>
      </c>
      <c r="B68" s="378">
        <v>2.3428525695968525</v>
      </c>
    </row>
    <row r="69" spans="1:2" x14ac:dyDescent="0.3">
      <c r="A69" s="79" t="s">
        <v>9</v>
      </c>
      <c r="B69" s="378">
        <v>0.57270196971297449</v>
      </c>
    </row>
    <row r="70" spans="1:2" x14ac:dyDescent="0.3">
      <c r="A70" s="79" t="s">
        <v>10</v>
      </c>
      <c r="B70" s="378">
        <v>2.2415640649944235</v>
      </c>
    </row>
    <row r="71" spans="1:2" x14ac:dyDescent="0.3">
      <c r="A71" s="79" t="s">
        <v>11</v>
      </c>
      <c r="B71" s="378">
        <v>0.81190649044354535</v>
      </c>
    </row>
    <row r="72" spans="1:2" x14ac:dyDescent="0.3">
      <c r="A72" s="79" t="s">
        <v>12</v>
      </c>
      <c r="B72" s="378">
        <v>0.37353768252268776</v>
      </c>
    </row>
    <row r="73" spans="1:2" x14ac:dyDescent="0.3">
      <c r="A73" s="79" t="s">
        <v>13</v>
      </c>
      <c r="B73" s="378">
        <v>0.77321580453104455</v>
      </c>
    </row>
    <row r="74" spans="1:2" x14ac:dyDescent="0.3">
      <c r="A74" s="79" t="s">
        <v>14</v>
      </c>
      <c r="B74" s="378">
        <v>0.59751910069391889</v>
      </c>
    </row>
    <row r="75" spans="1:2" x14ac:dyDescent="0.3">
      <c r="A75" s="79" t="s">
        <v>15</v>
      </c>
      <c r="B75" s="378">
        <v>0.70510143034554484</v>
      </c>
    </row>
    <row r="76" spans="1:2" x14ac:dyDescent="0.3">
      <c r="A76" s="79" t="s">
        <v>16</v>
      </c>
      <c r="B76" s="378">
        <v>1.2223555517634295</v>
      </c>
    </row>
    <row r="77" spans="1:2" x14ac:dyDescent="0.3">
      <c r="A77" s="79" t="s">
        <v>17</v>
      </c>
      <c r="B77" s="378">
        <v>4.3534856182602603E-2</v>
      </c>
    </row>
    <row r="78" spans="1:2" x14ac:dyDescent="0.3">
      <c r="A78" s="79" t="s">
        <v>18</v>
      </c>
      <c r="B78" s="378">
        <v>0.66403930596932648</v>
      </c>
    </row>
    <row r="79" spans="1:2" x14ac:dyDescent="0.3">
      <c r="A79" s="79" t="s">
        <v>19</v>
      </c>
      <c r="B79" s="378">
        <v>1.551922244716252</v>
      </c>
    </row>
    <row r="80" spans="1:2" x14ac:dyDescent="0.3">
      <c r="A80" s="79" t="s">
        <v>20</v>
      </c>
      <c r="B80" s="378">
        <v>1.6329970380058192</v>
      </c>
    </row>
    <row r="81" spans="1:11" ht="14.5" thickBot="1" x14ac:dyDescent="0.35">
      <c r="A81" s="100" t="s">
        <v>1</v>
      </c>
      <c r="B81" s="379">
        <v>0.91645305410278399</v>
      </c>
    </row>
    <row r="84" spans="1:11" ht="53.25" customHeight="1" x14ac:dyDescent="0.3">
      <c r="A84" s="478" t="s">
        <v>257</v>
      </c>
      <c r="B84" s="671"/>
      <c r="C84" s="671"/>
      <c r="D84" s="671"/>
      <c r="E84" s="671"/>
      <c r="F84" s="671"/>
      <c r="G84" s="671"/>
      <c r="H84" s="671"/>
      <c r="I84" s="671"/>
      <c r="J84" s="671"/>
      <c r="K84" s="671"/>
    </row>
    <row r="86" spans="1:11" x14ac:dyDescent="0.3">
      <c r="A86" s="673" t="s">
        <v>125</v>
      </c>
      <c r="B86" s="674" t="s">
        <v>119</v>
      </c>
      <c r="C86" s="675"/>
      <c r="D86" s="675"/>
      <c r="E86" s="675"/>
      <c r="F86" s="676"/>
    </row>
    <row r="87" spans="1:11" ht="45" customHeight="1" x14ac:dyDescent="0.3">
      <c r="A87" s="673"/>
      <c r="B87" s="303" t="s">
        <v>126</v>
      </c>
      <c r="C87" s="303" t="s">
        <v>127</v>
      </c>
      <c r="D87" s="304" t="s">
        <v>128</v>
      </c>
      <c r="E87" s="303" t="s">
        <v>129</v>
      </c>
      <c r="F87" s="304" t="s">
        <v>130</v>
      </c>
    </row>
    <row r="88" spans="1:11" x14ac:dyDescent="0.3">
      <c r="A88" s="305" t="s">
        <v>3</v>
      </c>
      <c r="B88" s="92">
        <v>7620</v>
      </c>
      <c r="C88" s="92">
        <v>1148</v>
      </c>
      <c r="D88" s="93">
        <v>15.065616797900264</v>
      </c>
      <c r="E88" s="92">
        <v>654</v>
      </c>
      <c r="F88" s="93">
        <v>8.5826771653543314</v>
      </c>
    </row>
    <row r="89" spans="1:11" x14ac:dyDescent="0.3">
      <c r="A89" s="305" t="s">
        <v>96</v>
      </c>
      <c r="B89" s="92">
        <v>361</v>
      </c>
      <c r="C89" s="92">
        <v>41</v>
      </c>
      <c r="D89" s="93">
        <v>11.357340720221606</v>
      </c>
      <c r="E89" s="92">
        <v>14</v>
      </c>
      <c r="F89" s="93">
        <v>3.8781163434903045</v>
      </c>
    </row>
    <row r="90" spans="1:11" x14ac:dyDescent="0.3">
      <c r="A90" s="305" t="s">
        <v>5</v>
      </c>
      <c r="B90" s="92">
        <v>14585</v>
      </c>
      <c r="C90" s="92">
        <v>2144</v>
      </c>
      <c r="D90" s="93">
        <v>14.700034281796368</v>
      </c>
      <c r="E90" s="92">
        <v>1200</v>
      </c>
      <c r="F90" s="93">
        <v>8.227631127871101</v>
      </c>
    </row>
    <row r="91" spans="1:11" x14ac:dyDescent="0.3">
      <c r="A91" s="305" t="s">
        <v>23</v>
      </c>
      <c r="B91" s="92">
        <v>1616</v>
      </c>
      <c r="C91" s="92">
        <v>208</v>
      </c>
      <c r="D91" s="93">
        <v>12.871287128712872</v>
      </c>
      <c r="E91" s="92">
        <v>107</v>
      </c>
      <c r="F91" s="93">
        <v>6.6212871287128721</v>
      </c>
    </row>
    <row r="92" spans="1:11" x14ac:dyDescent="0.3">
      <c r="A92" s="305" t="s">
        <v>24</v>
      </c>
      <c r="B92" s="92">
        <v>905</v>
      </c>
      <c r="C92" s="92">
        <v>179</v>
      </c>
      <c r="D92" s="93">
        <v>19.77900552486188</v>
      </c>
      <c r="E92" s="92">
        <v>101</v>
      </c>
      <c r="F92" s="93">
        <v>11.160220994475138</v>
      </c>
    </row>
    <row r="93" spans="1:11" x14ac:dyDescent="0.3">
      <c r="A93" s="305" t="s">
        <v>6</v>
      </c>
      <c r="B93" s="92">
        <v>7829</v>
      </c>
      <c r="C93" s="92">
        <v>1228</v>
      </c>
      <c r="D93" s="93">
        <v>15.68527270404905</v>
      </c>
      <c r="E93" s="92">
        <v>711</v>
      </c>
      <c r="F93" s="93">
        <v>9.0816196193639041</v>
      </c>
    </row>
    <row r="94" spans="1:11" x14ac:dyDescent="0.3">
      <c r="A94" s="305" t="s">
        <v>22</v>
      </c>
      <c r="B94" s="92">
        <v>883</v>
      </c>
      <c r="C94" s="92">
        <v>96</v>
      </c>
      <c r="D94" s="93">
        <v>10.872027180067951</v>
      </c>
      <c r="E94" s="92">
        <v>39</v>
      </c>
      <c r="F94" s="93">
        <v>4.4167610419026042</v>
      </c>
    </row>
    <row r="95" spans="1:11" x14ac:dyDescent="0.3">
      <c r="A95" s="305" t="s">
        <v>7</v>
      </c>
      <c r="B95" s="92">
        <v>3395</v>
      </c>
      <c r="C95" s="92">
        <v>517</v>
      </c>
      <c r="D95" s="93">
        <v>15.228276877761413</v>
      </c>
      <c r="E95" s="92">
        <v>268</v>
      </c>
      <c r="F95" s="93">
        <v>7.8939617083946976</v>
      </c>
    </row>
    <row r="96" spans="1:11" x14ac:dyDescent="0.3">
      <c r="A96" s="305" t="s">
        <v>8</v>
      </c>
      <c r="B96" s="92">
        <v>5633</v>
      </c>
      <c r="C96" s="92">
        <v>927</v>
      </c>
      <c r="D96" s="93">
        <v>16.456595064796733</v>
      </c>
      <c r="E96" s="92">
        <v>522</v>
      </c>
      <c r="F96" s="93">
        <v>9.2668205219243731</v>
      </c>
    </row>
    <row r="97" spans="1:11" x14ac:dyDescent="0.3">
      <c r="A97" s="305" t="s">
        <v>9</v>
      </c>
      <c r="B97" s="92">
        <v>5481</v>
      </c>
      <c r="C97" s="92">
        <v>662</v>
      </c>
      <c r="D97" s="93">
        <v>12.078087940156907</v>
      </c>
      <c r="E97" s="92">
        <v>391</v>
      </c>
      <c r="F97" s="93">
        <v>7.1337347199416161</v>
      </c>
    </row>
    <row r="98" spans="1:11" x14ac:dyDescent="0.3">
      <c r="A98" s="305" t="s">
        <v>10</v>
      </c>
      <c r="B98" s="92">
        <v>714</v>
      </c>
      <c r="C98" s="92">
        <v>62</v>
      </c>
      <c r="D98" s="93">
        <v>8.6834733893557416</v>
      </c>
      <c r="E98" s="92">
        <v>27</v>
      </c>
      <c r="F98" s="93">
        <v>3.7815126050420167</v>
      </c>
    </row>
    <row r="99" spans="1:11" x14ac:dyDescent="0.3">
      <c r="A99" s="305" t="s">
        <v>11</v>
      </c>
      <c r="B99" s="92">
        <v>2388</v>
      </c>
      <c r="C99" s="92">
        <v>253</v>
      </c>
      <c r="D99" s="93">
        <v>10.594639865996649</v>
      </c>
      <c r="E99" s="92">
        <v>120</v>
      </c>
      <c r="F99" s="93">
        <v>5.025125628140704</v>
      </c>
    </row>
    <row r="100" spans="1:11" x14ac:dyDescent="0.3">
      <c r="A100" s="305" t="s">
        <v>12</v>
      </c>
      <c r="B100" s="92">
        <v>7128</v>
      </c>
      <c r="C100" s="92">
        <v>1549</v>
      </c>
      <c r="D100" s="93">
        <v>21.731200897867563</v>
      </c>
      <c r="E100" s="92">
        <v>1227</v>
      </c>
      <c r="F100" s="93">
        <v>17.213804713804713</v>
      </c>
    </row>
    <row r="101" spans="1:11" x14ac:dyDescent="0.3">
      <c r="A101" s="305" t="s">
        <v>13</v>
      </c>
      <c r="B101" s="92">
        <v>1692</v>
      </c>
      <c r="C101" s="92">
        <v>160</v>
      </c>
      <c r="D101" s="93">
        <v>9.456264775413711</v>
      </c>
      <c r="E101" s="92">
        <v>79</v>
      </c>
      <c r="F101" s="93">
        <v>4.6690307328605201</v>
      </c>
    </row>
    <row r="102" spans="1:11" x14ac:dyDescent="0.3">
      <c r="A102" s="305" t="s">
        <v>14</v>
      </c>
      <c r="B102" s="92">
        <v>314</v>
      </c>
      <c r="C102" s="92">
        <v>20</v>
      </c>
      <c r="D102" s="93">
        <v>6.369426751592357</v>
      </c>
      <c r="E102" s="92">
        <v>7</v>
      </c>
      <c r="F102" s="93">
        <v>2.2292993630573248</v>
      </c>
    </row>
    <row r="103" spans="1:11" x14ac:dyDescent="0.3">
      <c r="A103" s="305" t="s">
        <v>15</v>
      </c>
      <c r="B103" s="92">
        <v>3687</v>
      </c>
      <c r="C103" s="92">
        <v>317</v>
      </c>
      <c r="D103" s="93">
        <v>8.5977759696229992</v>
      </c>
      <c r="E103" s="92">
        <v>154</v>
      </c>
      <c r="F103" s="93">
        <v>4.1768375372931921</v>
      </c>
    </row>
    <row r="104" spans="1:11" x14ac:dyDescent="0.3">
      <c r="A104" s="305" t="s">
        <v>16</v>
      </c>
      <c r="B104" s="92">
        <v>4934</v>
      </c>
      <c r="C104" s="92">
        <v>588</v>
      </c>
      <c r="D104" s="93">
        <v>11.917308471828131</v>
      </c>
      <c r="E104" s="92">
        <v>267</v>
      </c>
      <c r="F104" s="93">
        <v>5.4114308877178763</v>
      </c>
    </row>
    <row r="105" spans="1:11" x14ac:dyDescent="0.3">
      <c r="A105" s="305" t="s">
        <v>17</v>
      </c>
      <c r="B105" s="92">
        <v>558</v>
      </c>
      <c r="C105" s="92">
        <v>37</v>
      </c>
      <c r="D105" s="93">
        <v>6.6308243727598564</v>
      </c>
      <c r="E105" s="92">
        <v>16</v>
      </c>
      <c r="F105" s="93">
        <v>2.8673835125448028</v>
      </c>
    </row>
    <row r="106" spans="1:11" x14ac:dyDescent="0.3">
      <c r="A106" s="305" t="s">
        <v>18</v>
      </c>
      <c r="B106" s="92">
        <v>1981</v>
      </c>
      <c r="C106" s="92">
        <v>222</v>
      </c>
      <c r="D106" s="93">
        <v>11.206461383139828</v>
      </c>
      <c r="E106" s="92">
        <v>83</v>
      </c>
      <c r="F106" s="93">
        <v>4.1898031297324581</v>
      </c>
    </row>
    <row r="107" spans="1:11" x14ac:dyDescent="0.3">
      <c r="A107" s="305" t="s">
        <v>19</v>
      </c>
      <c r="B107" s="92">
        <v>6921</v>
      </c>
      <c r="C107" s="92">
        <v>863</v>
      </c>
      <c r="D107" s="93">
        <v>12.469296344458893</v>
      </c>
      <c r="E107" s="92">
        <v>375</v>
      </c>
      <c r="F107" s="93">
        <v>5.4182921543129607</v>
      </c>
    </row>
    <row r="108" spans="1:11" x14ac:dyDescent="0.3">
      <c r="A108" s="305" t="s">
        <v>20</v>
      </c>
      <c r="B108" s="92">
        <v>2510</v>
      </c>
      <c r="C108" s="92">
        <v>404</v>
      </c>
      <c r="D108" s="93">
        <v>16.095617529880478</v>
      </c>
      <c r="E108" s="92">
        <v>226</v>
      </c>
      <c r="F108" s="93">
        <v>9.0039840637450208</v>
      </c>
    </row>
    <row r="109" spans="1:11" ht="14.5" thickBot="1" x14ac:dyDescent="0.35">
      <c r="A109" s="306" t="s">
        <v>1</v>
      </c>
      <c r="B109" s="307">
        <v>81135</v>
      </c>
      <c r="C109" s="307">
        <v>11625</v>
      </c>
      <c r="D109" s="308">
        <v>14.327971898687371</v>
      </c>
      <c r="E109" s="307">
        <v>6588</v>
      </c>
      <c r="F109" s="308">
        <v>8.1198003327787021</v>
      </c>
    </row>
    <row r="111" spans="1:11" ht="53.25" customHeight="1" x14ac:dyDescent="0.3">
      <c r="A111" s="478" t="s">
        <v>258</v>
      </c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</row>
    <row r="112" spans="1:11" ht="42.75" customHeight="1" thickBot="1" x14ac:dyDescent="0.35"/>
    <row r="113" spans="1:13" ht="14.25" customHeight="1" x14ac:dyDescent="0.3">
      <c r="A113" s="665" t="s">
        <v>166</v>
      </c>
      <c r="B113" s="667" t="s">
        <v>167</v>
      </c>
      <c r="C113" s="667"/>
      <c r="D113" s="667"/>
      <c r="E113" s="667"/>
      <c r="F113" s="667"/>
      <c r="G113" s="668"/>
      <c r="H113" s="667" t="s">
        <v>168</v>
      </c>
      <c r="I113" s="667"/>
      <c r="J113" s="667"/>
      <c r="K113" s="667"/>
      <c r="L113" s="667"/>
      <c r="M113" s="668"/>
    </row>
    <row r="114" spans="1:13" ht="14.25" customHeight="1" x14ac:dyDescent="0.3">
      <c r="A114" s="666"/>
      <c r="B114" s="669" t="s">
        <v>119</v>
      </c>
      <c r="C114" s="669"/>
      <c r="D114" s="244"/>
      <c r="E114" s="669" t="s">
        <v>120</v>
      </c>
      <c r="F114" s="669"/>
      <c r="G114" s="670"/>
      <c r="H114" s="669" t="s">
        <v>119</v>
      </c>
      <c r="I114" s="669"/>
      <c r="J114" s="244"/>
      <c r="K114" s="669" t="s">
        <v>120</v>
      </c>
      <c r="L114" s="669"/>
      <c r="M114" s="670"/>
    </row>
    <row r="115" spans="1:13" ht="33.75" customHeight="1" x14ac:dyDescent="0.3">
      <c r="A115" s="666"/>
      <c r="B115" s="244" t="s">
        <v>121</v>
      </c>
      <c r="C115" s="244" t="s">
        <v>62</v>
      </c>
      <c r="D115" s="89" t="s">
        <v>122</v>
      </c>
      <c r="E115" s="244" t="s">
        <v>121</v>
      </c>
      <c r="F115" s="244" t="s">
        <v>123</v>
      </c>
      <c r="G115" s="90" t="s">
        <v>122</v>
      </c>
      <c r="H115" s="244" t="s">
        <v>121</v>
      </c>
      <c r="I115" s="244" t="s">
        <v>62</v>
      </c>
      <c r="J115" s="89" t="s">
        <v>122</v>
      </c>
      <c r="K115" s="244" t="s">
        <v>121</v>
      </c>
      <c r="L115" s="244" t="s">
        <v>123</v>
      </c>
      <c r="M115" s="90" t="s">
        <v>122</v>
      </c>
    </row>
    <row r="116" spans="1:13" x14ac:dyDescent="0.3">
      <c r="A116" s="10" t="s">
        <v>43</v>
      </c>
      <c r="B116" s="77">
        <v>4571</v>
      </c>
      <c r="C116" s="77">
        <v>64877</v>
      </c>
      <c r="D116" s="91">
        <v>14.193174360096259</v>
      </c>
      <c r="E116" s="77">
        <v>1059</v>
      </c>
      <c r="F116" s="77">
        <v>5658</v>
      </c>
      <c r="G116" s="127">
        <v>5.3427762039660056</v>
      </c>
      <c r="H116" s="77">
        <v>23568</v>
      </c>
      <c r="I116" s="77">
        <v>342557</v>
      </c>
      <c r="J116" s="91">
        <v>14.53483536999321</v>
      </c>
      <c r="K116" s="77">
        <v>1125</v>
      </c>
      <c r="L116" s="77">
        <v>8410</v>
      </c>
      <c r="M116" s="127">
        <v>7.4755555555555553</v>
      </c>
    </row>
    <row r="117" spans="1:13" x14ac:dyDescent="0.3">
      <c r="A117" s="10" t="s">
        <v>41</v>
      </c>
      <c r="B117" s="77">
        <v>2874</v>
      </c>
      <c r="C117" s="77">
        <v>37693</v>
      </c>
      <c r="D117" s="91">
        <v>13.115170494084898</v>
      </c>
      <c r="E117" s="77">
        <v>1277</v>
      </c>
      <c r="F117" s="77">
        <v>8033</v>
      </c>
      <c r="G117" s="127">
        <v>6.2905246671887234</v>
      </c>
      <c r="H117" s="77">
        <v>10317</v>
      </c>
      <c r="I117" s="77">
        <v>140619</v>
      </c>
      <c r="J117" s="91">
        <v>13.629834254143647</v>
      </c>
      <c r="K117" s="77">
        <v>579</v>
      </c>
      <c r="L117" s="77">
        <v>4423</v>
      </c>
      <c r="M117" s="127">
        <v>7.6390328151986182</v>
      </c>
    </row>
    <row r="118" spans="1:13" x14ac:dyDescent="0.3">
      <c r="A118" s="10" t="s">
        <v>39</v>
      </c>
      <c r="B118" s="77">
        <v>2403</v>
      </c>
      <c r="C118" s="77">
        <v>27433</v>
      </c>
      <c r="D118" s="91">
        <v>11.416146483562214</v>
      </c>
      <c r="E118" s="77">
        <v>737</v>
      </c>
      <c r="F118" s="77">
        <v>7054</v>
      </c>
      <c r="G118" s="127">
        <v>9.5712347354138405</v>
      </c>
      <c r="H118" s="77">
        <v>10123</v>
      </c>
      <c r="I118" s="77">
        <v>117413</v>
      </c>
      <c r="J118" s="91">
        <v>11.598636767756593</v>
      </c>
      <c r="K118" s="77">
        <v>704</v>
      </c>
      <c r="L118" s="77">
        <v>6122</v>
      </c>
      <c r="M118" s="127">
        <v>8.6960227272727266</v>
      </c>
    </row>
    <row r="119" spans="1:13" x14ac:dyDescent="0.3">
      <c r="A119" s="10" t="s">
        <v>44</v>
      </c>
      <c r="B119" s="77">
        <v>339</v>
      </c>
      <c r="C119" s="77">
        <v>3157</v>
      </c>
      <c r="D119" s="91">
        <v>9.3126843657817115</v>
      </c>
      <c r="E119" s="77">
        <v>156</v>
      </c>
      <c r="F119" s="77">
        <v>1061</v>
      </c>
      <c r="G119" s="127">
        <v>6.8012820512820511</v>
      </c>
      <c r="H119" s="77">
        <v>1849</v>
      </c>
      <c r="I119" s="77">
        <v>13587</v>
      </c>
      <c r="J119" s="91">
        <v>7.348296376419686</v>
      </c>
      <c r="K119" s="77">
        <v>161</v>
      </c>
      <c r="L119" s="77">
        <v>1024</v>
      </c>
      <c r="M119" s="127">
        <v>6.3602484472049685</v>
      </c>
    </row>
    <row r="120" spans="1:13" x14ac:dyDescent="0.3">
      <c r="A120" s="10" t="s">
        <v>40</v>
      </c>
      <c r="B120" s="77">
        <v>2208</v>
      </c>
      <c r="C120" s="77">
        <v>21954</v>
      </c>
      <c r="D120" s="91">
        <v>9.9429347826086953</v>
      </c>
      <c r="E120" s="77">
        <v>420</v>
      </c>
      <c r="F120" s="77">
        <v>2187</v>
      </c>
      <c r="G120" s="127">
        <v>5.2071428571428573</v>
      </c>
      <c r="H120" s="77">
        <v>13366</v>
      </c>
      <c r="I120" s="77">
        <v>129541</v>
      </c>
      <c r="J120" s="91">
        <v>9.691830016459674</v>
      </c>
      <c r="K120" s="77">
        <v>393</v>
      </c>
      <c r="L120" s="77">
        <v>3202</v>
      </c>
      <c r="M120" s="127">
        <v>8.1475826972010186</v>
      </c>
    </row>
    <row r="121" spans="1:13" x14ac:dyDescent="0.3">
      <c r="A121" s="10" t="s">
        <v>36</v>
      </c>
      <c r="B121" s="77">
        <v>630</v>
      </c>
      <c r="C121" s="77">
        <v>5369</v>
      </c>
      <c r="D121" s="91">
        <v>8.5222222222222221</v>
      </c>
      <c r="E121" s="77">
        <v>11</v>
      </c>
      <c r="F121" s="77">
        <v>138</v>
      </c>
      <c r="G121" s="127">
        <v>12.545454545454545</v>
      </c>
      <c r="H121" s="77">
        <v>4892</v>
      </c>
      <c r="I121" s="77">
        <v>42431</v>
      </c>
      <c r="J121" s="91">
        <v>8.6735486508585442</v>
      </c>
      <c r="K121" s="77">
        <v>103</v>
      </c>
      <c r="L121" s="77">
        <v>917</v>
      </c>
      <c r="M121" s="127">
        <v>8.9029126213592225</v>
      </c>
    </row>
    <row r="122" spans="1:13" x14ac:dyDescent="0.3">
      <c r="A122" s="10" t="s">
        <v>38</v>
      </c>
      <c r="B122" s="77">
        <v>202</v>
      </c>
      <c r="C122" s="77">
        <v>3239</v>
      </c>
      <c r="D122" s="91">
        <v>16.034653465346533</v>
      </c>
      <c r="E122" s="77">
        <v>27</v>
      </c>
      <c r="F122" s="77">
        <v>123</v>
      </c>
      <c r="G122" s="127">
        <v>4.5555555555555554</v>
      </c>
      <c r="H122" s="77">
        <v>1264</v>
      </c>
      <c r="I122" s="77">
        <v>21001</v>
      </c>
      <c r="J122" s="91">
        <v>16.614715189873419</v>
      </c>
      <c r="K122" s="77">
        <v>65</v>
      </c>
      <c r="L122" s="77">
        <v>322</v>
      </c>
      <c r="M122" s="127">
        <v>4.953846153846154</v>
      </c>
    </row>
    <row r="123" spans="1:13" x14ac:dyDescent="0.3">
      <c r="A123" s="10" t="s">
        <v>42</v>
      </c>
      <c r="B123" s="77">
        <v>138</v>
      </c>
      <c r="C123" s="77">
        <v>1872</v>
      </c>
      <c r="D123" s="91">
        <v>13.565217391304348</v>
      </c>
      <c r="E123" s="77">
        <v>15</v>
      </c>
      <c r="F123" s="77">
        <v>88</v>
      </c>
      <c r="G123" s="127">
        <v>5.8666666666666663</v>
      </c>
      <c r="H123" s="77">
        <v>1120</v>
      </c>
      <c r="I123" s="77">
        <v>16609</v>
      </c>
      <c r="J123" s="91">
        <v>14.829464285714286</v>
      </c>
      <c r="K123" s="77">
        <v>27</v>
      </c>
      <c r="L123" s="77">
        <v>267</v>
      </c>
      <c r="M123" s="127">
        <v>9.8888888888888893</v>
      </c>
    </row>
    <row r="124" spans="1:13" x14ac:dyDescent="0.3">
      <c r="A124" s="10" t="s">
        <v>37</v>
      </c>
      <c r="B124" s="77">
        <v>586</v>
      </c>
      <c r="C124" s="77">
        <v>7015</v>
      </c>
      <c r="D124" s="91">
        <v>11.970989761092151</v>
      </c>
      <c r="E124" s="77">
        <v>639</v>
      </c>
      <c r="F124" s="77">
        <v>7653</v>
      </c>
      <c r="G124" s="127">
        <v>11.976525821596244</v>
      </c>
      <c r="H124" s="77">
        <v>3157</v>
      </c>
      <c r="I124" s="77">
        <v>27451</v>
      </c>
      <c r="J124" s="91">
        <v>8.6952803294266712</v>
      </c>
      <c r="K124" s="77">
        <v>463</v>
      </c>
      <c r="L124" s="77">
        <v>4713</v>
      </c>
      <c r="M124" s="127">
        <v>10.179265658747299</v>
      </c>
    </row>
    <row r="125" spans="1:13" ht="14.5" thickBot="1" x14ac:dyDescent="0.35">
      <c r="A125" s="128" t="s">
        <v>0</v>
      </c>
      <c r="B125" s="95">
        <v>13951</v>
      </c>
      <c r="C125" s="95">
        <v>172609</v>
      </c>
      <c r="D125" s="96">
        <v>12.372518099060999</v>
      </c>
      <c r="E125" s="95">
        <v>4341</v>
      </c>
      <c r="F125" s="95">
        <v>31995</v>
      </c>
      <c r="G125" s="97">
        <v>7.3704215618521074</v>
      </c>
      <c r="H125" s="95">
        <v>69656</v>
      </c>
      <c r="I125" s="95">
        <v>851209</v>
      </c>
      <c r="J125" s="96">
        <v>12.220182037441139</v>
      </c>
      <c r="K125" s="95">
        <v>3620</v>
      </c>
      <c r="L125" s="95">
        <v>29400</v>
      </c>
      <c r="M125" s="97">
        <v>8.1215469613259668</v>
      </c>
    </row>
    <row r="126" spans="1:13" ht="14.5" thickBot="1" x14ac:dyDescent="0.35"/>
    <row r="127" spans="1:13" ht="14.25" customHeight="1" x14ac:dyDescent="0.3">
      <c r="A127" s="665" t="s">
        <v>166</v>
      </c>
      <c r="B127" s="667" t="s">
        <v>169</v>
      </c>
      <c r="C127" s="667"/>
      <c r="D127" s="667"/>
      <c r="E127" s="667"/>
      <c r="F127" s="667"/>
      <c r="G127" s="668"/>
      <c r="H127" s="667" t="s">
        <v>170</v>
      </c>
      <c r="I127" s="667"/>
      <c r="J127" s="667"/>
      <c r="K127" s="667"/>
      <c r="L127" s="667"/>
      <c r="M127" s="668"/>
    </row>
    <row r="128" spans="1:13" ht="14.25" customHeight="1" x14ac:dyDescent="0.3">
      <c r="A128" s="666"/>
      <c r="B128" s="669" t="s">
        <v>119</v>
      </c>
      <c r="C128" s="669"/>
      <c r="D128" s="244"/>
      <c r="E128" s="669" t="s">
        <v>120</v>
      </c>
      <c r="F128" s="669"/>
      <c r="G128" s="670"/>
      <c r="H128" s="669" t="s">
        <v>119</v>
      </c>
      <c r="I128" s="669"/>
      <c r="J128" s="244"/>
      <c r="K128" s="669" t="s">
        <v>120</v>
      </c>
      <c r="L128" s="669"/>
      <c r="M128" s="670"/>
    </row>
    <row r="129" spans="1:13" ht="26" x14ac:dyDescent="0.3">
      <c r="A129" s="666"/>
      <c r="B129" s="244" t="s">
        <v>121</v>
      </c>
      <c r="C129" s="244" t="s">
        <v>62</v>
      </c>
      <c r="D129" s="89" t="s">
        <v>122</v>
      </c>
      <c r="E129" s="244" t="s">
        <v>121</v>
      </c>
      <c r="F129" s="244" t="s">
        <v>123</v>
      </c>
      <c r="G129" s="90" t="s">
        <v>122</v>
      </c>
      <c r="H129" s="244" t="s">
        <v>121</v>
      </c>
      <c r="I129" s="244" t="s">
        <v>62</v>
      </c>
      <c r="J129" s="89" t="s">
        <v>122</v>
      </c>
      <c r="K129" s="244" t="s">
        <v>121</v>
      </c>
      <c r="L129" s="244" t="s">
        <v>123</v>
      </c>
      <c r="M129" s="90" t="s">
        <v>122</v>
      </c>
    </row>
    <row r="130" spans="1:13" x14ac:dyDescent="0.3">
      <c r="A130" s="10" t="s">
        <v>43</v>
      </c>
      <c r="B130" s="77">
        <v>290</v>
      </c>
      <c r="C130" s="77">
        <v>4187</v>
      </c>
      <c r="D130" s="91">
        <v>14.437931034482759</v>
      </c>
      <c r="E130" s="77">
        <v>8</v>
      </c>
      <c r="F130" s="77">
        <v>13</v>
      </c>
      <c r="G130" s="127">
        <v>1.625</v>
      </c>
      <c r="H130" s="77">
        <v>1632</v>
      </c>
      <c r="I130" s="77">
        <v>18725</v>
      </c>
      <c r="J130" s="91">
        <v>11.473651960784315</v>
      </c>
      <c r="K130" s="77">
        <v>4</v>
      </c>
      <c r="L130" s="77">
        <v>38</v>
      </c>
      <c r="M130" s="127">
        <v>9.5</v>
      </c>
    </row>
    <row r="131" spans="1:13" x14ac:dyDescent="0.3">
      <c r="A131" s="10" t="s">
        <v>41</v>
      </c>
      <c r="B131" s="77">
        <v>174</v>
      </c>
      <c r="C131" s="77">
        <v>2391</v>
      </c>
      <c r="D131" s="91">
        <v>13.741379310344827</v>
      </c>
      <c r="E131" s="77">
        <v>29</v>
      </c>
      <c r="F131" s="77">
        <v>113</v>
      </c>
      <c r="G131" s="127">
        <v>3.896551724137931</v>
      </c>
      <c r="H131" s="77">
        <v>1619</v>
      </c>
      <c r="I131" s="77">
        <v>20703</v>
      </c>
      <c r="J131" s="91">
        <v>12.787523162445954</v>
      </c>
      <c r="K131" s="77">
        <v>113</v>
      </c>
      <c r="L131" s="77">
        <v>1001</v>
      </c>
      <c r="M131" s="127">
        <v>8.8584070796460175</v>
      </c>
    </row>
    <row r="132" spans="1:13" x14ac:dyDescent="0.3">
      <c r="A132" s="10" t="s">
        <v>39</v>
      </c>
      <c r="B132" s="77">
        <v>219</v>
      </c>
      <c r="C132" s="77">
        <v>3278</v>
      </c>
      <c r="D132" s="91">
        <v>14.968036529680365</v>
      </c>
      <c r="E132" s="77">
        <v>1195</v>
      </c>
      <c r="F132" s="77">
        <v>4313</v>
      </c>
      <c r="G132" s="127">
        <v>3.609205020920502</v>
      </c>
      <c r="H132" s="77">
        <v>2174</v>
      </c>
      <c r="I132" s="77">
        <v>28083</v>
      </c>
      <c r="J132" s="91">
        <v>12.91766329346826</v>
      </c>
      <c r="K132" s="77">
        <v>29</v>
      </c>
      <c r="L132" s="77">
        <v>203</v>
      </c>
      <c r="M132" s="127">
        <v>7</v>
      </c>
    </row>
    <row r="133" spans="1:13" x14ac:dyDescent="0.3">
      <c r="A133" s="10" t="s">
        <v>44</v>
      </c>
      <c r="B133" s="77">
        <v>31</v>
      </c>
      <c r="C133" s="77">
        <v>332</v>
      </c>
      <c r="D133" s="91">
        <v>10.709677419354838</v>
      </c>
      <c r="E133" s="77">
        <v>25</v>
      </c>
      <c r="F133" s="77">
        <v>118</v>
      </c>
      <c r="G133" s="127">
        <v>4.72</v>
      </c>
      <c r="H133" s="77">
        <v>44</v>
      </c>
      <c r="I133" s="77">
        <v>812</v>
      </c>
      <c r="J133" s="91">
        <v>18.454545454545453</v>
      </c>
      <c r="K133" s="77">
        <v>2</v>
      </c>
      <c r="L133" s="77">
        <v>64</v>
      </c>
      <c r="M133" s="127">
        <v>32</v>
      </c>
    </row>
    <row r="134" spans="1:13" x14ac:dyDescent="0.3">
      <c r="A134" s="10" t="s">
        <v>40</v>
      </c>
      <c r="B134" s="77">
        <v>199</v>
      </c>
      <c r="C134" s="77">
        <v>2137</v>
      </c>
      <c r="D134" s="91">
        <v>10.738693467336683</v>
      </c>
      <c r="E134" s="77">
        <v>6</v>
      </c>
      <c r="F134" s="77">
        <v>25</v>
      </c>
      <c r="G134" s="127">
        <v>4.166666666666667</v>
      </c>
      <c r="H134" s="77">
        <v>1264</v>
      </c>
      <c r="I134" s="77">
        <v>15336</v>
      </c>
      <c r="J134" s="91">
        <v>12.132911392405063</v>
      </c>
      <c r="K134" s="77">
        <v>1</v>
      </c>
      <c r="L134" s="77">
        <v>2</v>
      </c>
      <c r="M134" s="127">
        <v>2</v>
      </c>
    </row>
    <row r="135" spans="1:13" x14ac:dyDescent="0.3">
      <c r="A135" s="10" t="s">
        <v>36</v>
      </c>
      <c r="B135" s="77">
        <v>183</v>
      </c>
      <c r="C135" s="77">
        <v>1743</v>
      </c>
      <c r="D135" s="91">
        <v>9.5245901639344268</v>
      </c>
      <c r="E135" s="77">
        <v>212</v>
      </c>
      <c r="F135" s="77">
        <v>938</v>
      </c>
      <c r="G135" s="127">
        <v>4.4245283018867925</v>
      </c>
      <c r="H135" s="77">
        <v>1572</v>
      </c>
      <c r="I135" s="77">
        <v>12298</v>
      </c>
      <c r="J135" s="91">
        <v>7.8231552162849871</v>
      </c>
      <c r="K135" s="77"/>
      <c r="L135" s="77"/>
      <c r="M135" s="127"/>
    </row>
    <row r="136" spans="1:13" x14ac:dyDescent="0.3">
      <c r="A136" s="10" t="s">
        <v>38</v>
      </c>
      <c r="B136" s="77">
        <v>28</v>
      </c>
      <c r="C136" s="77">
        <v>313</v>
      </c>
      <c r="D136" s="91">
        <v>11.178571428571429</v>
      </c>
      <c r="E136" s="77">
        <v>11</v>
      </c>
      <c r="F136" s="77">
        <v>42</v>
      </c>
      <c r="G136" s="127">
        <v>3.8181818181818183</v>
      </c>
      <c r="H136" s="77">
        <v>14</v>
      </c>
      <c r="I136" s="77">
        <v>266</v>
      </c>
      <c r="J136" s="91">
        <v>19</v>
      </c>
      <c r="K136" s="77"/>
      <c r="L136" s="77"/>
      <c r="M136" s="127"/>
    </row>
    <row r="137" spans="1:13" x14ac:dyDescent="0.3">
      <c r="A137" s="10" t="s">
        <v>42</v>
      </c>
      <c r="B137" s="77">
        <v>7</v>
      </c>
      <c r="C137" s="77">
        <v>107</v>
      </c>
      <c r="D137" s="91">
        <v>15.285714285714286</v>
      </c>
      <c r="E137" s="77"/>
      <c r="F137" s="77"/>
      <c r="G137" s="127"/>
      <c r="H137" s="77">
        <v>23</v>
      </c>
      <c r="I137" s="77">
        <v>253</v>
      </c>
      <c r="J137" s="91">
        <v>11</v>
      </c>
      <c r="K137" s="77"/>
      <c r="L137" s="77"/>
      <c r="M137" s="127"/>
    </row>
    <row r="138" spans="1:13" x14ac:dyDescent="0.3">
      <c r="A138" s="10" t="s">
        <v>37</v>
      </c>
      <c r="B138" s="77">
        <v>108</v>
      </c>
      <c r="C138" s="77">
        <v>1551</v>
      </c>
      <c r="D138" s="91">
        <v>14.361111111111111</v>
      </c>
      <c r="E138" s="77">
        <v>182</v>
      </c>
      <c r="F138" s="77">
        <v>392</v>
      </c>
      <c r="G138" s="127">
        <v>2.1538461538461537</v>
      </c>
      <c r="H138" s="77">
        <v>76</v>
      </c>
      <c r="I138" s="77">
        <v>792</v>
      </c>
      <c r="J138" s="91">
        <v>10.421052631578947</v>
      </c>
      <c r="K138" s="77">
        <v>2</v>
      </c>
      <c r="L138" s="77">
        <v>2</v>
      </c>
      <c r="M138" s="127">
        <v>1</v>
      </c>
    </row>
    <row r="139" spans="1:13" ht="14.5" thickBot="1" x14ac:dyDescent="0.35">
      <c r="A139" s="128" t="s">
        <v>0</v>
      </c>
      <c r="B139" s="95">
        <v>1239</v>
      </c>
      <c r="C139" s="95">
        <v>16039</v>
      </c>
      <c r="D139" s="96">
        <v>12.945117029862793</v>
      </c>
      <c r="E139" s="95">
        <v>1668</v>
      </c>
      <c r="F139" s="95">
        <v>5954</v>
      </c>
      <c r="G139" s="97">
        <v>3.5695443645083933</v>
      </c>
      <c r="H139" s="95">
        <v>8418</v>
      </c>
      <c r="I139" s="95">
        <v>97268</v>
      </c>
      <c r="J139" s="96">
        <v>11.554763601805655</v>
      </c>
      <c r="K139" s="95">
        <v>151</v>
      </c>
      <c r="L139" s="95">
        <v>1310</v>
      </c>
      <c r="M139" s="97">
        <v>8.6754966887417222</v>
      </c>
    </row>
    <row r="142" spans="1:13" x14ac:dyDescent="0.3">
      <c r="A142" s="33" t="s">
        <v>171</v>
      </c>
    </row>
    <row r="145" spans="1:13" x14ac:dyDescent="0.3">
      <c r="A145" s="126" t="s">
        <v>172</v>
      </c>
    </row>
    <row r="146" spans="1:13" x14ac:dyDescent="0.3">
      <c r="A146" s="126" t="s">
        <v>173</v>
      </c>
    </row>
    <row r="147" spans="1:13" x14ac:dyDescent="0.3">
      <c r="A147" s="126" t="s">
        <v>174</v>
      </c>
    </row>
    <row r="148" spans="1:13" x14ac:dyDescent="0.3">
      <c r="A148" s="126" t="s">
        <v>175</v>
      </c>
    </row>
    <row r="149" spans="1:13" x14ac:dyDescent="0.3">
      <c r="A149" s="441" t="s">
        <v>259</v>
      </c>
    </row>
    <row r="152" spans="1:13" ht="14.5" thickBot="1" x14ac:dyDescent="0.35"/>
    <row r="153" spans="1:13" ht="14" customHeight="1" x14ac:dyDescent="0.3">
      <c r="A153" s="665" t="s">
        <v>166</v>
      </c>
      <c r="B153" s="667" t="s">
        <v>167</v>
      </c>
      <c r="C153" s="667"/>
      <c r="D153" s="667"/>
      <c r="E153" s="667"/>
      <c r="F153" s="667"/>
      <c r="G153" s="668"/>
      <c r="H153" s="667" t="s">
        <v>168</v>
      </c>
      <c r="I153" s="667"/>
      <c r="J153" s="667"/>
      <c r="K153" s="667"/>
      <c r="L153" s="667"/>
      <c r="M153" s="668"/>
    </row>
    <row r="154" spans="1:13" x14ac:dyDescent="0.3">
      <c r="A154" s="666"/>
      <c r="B154" s="669" t="s">
        <v>119</v>
      </c>
      <c r="C154" s="669"/>
      <c r="D154" s="393"/>
      <c r="E154" s="669" t="s">
        <v>120</v>
      </c>
      <c r="F154" s="669"/>
      <c r="G154" s="670"/>
      <c r="H154" s="669" t="s">
        <v>119</v>
      </c>
      <c r="I154" s="669"/>
      <c r="J154" s="393"/>
      <c r="K154" s="669" t="s">
        <v>120</v>
      </c>
      <c r="L154" s="669"/>
      <c r="M154" s="670"/>
    </row>
    <row r="155" spans="1:13" ht="26" x14ac:dyDescent="0.3">
      <c r="A155" s="666"/>
      <c r="B155" s="393" t="s">
        <v>121</v>
      </c>
      <c r="C155" s="393" t="s">
        <v>62</v>
      </c>
      <c r="D155" s="89" t="s">
        <v>122</v>
      </c>
      <c r="E155" s="393" t="s">
        <v>121</v>
      </c>
      <c r="F155" s="393" t="s">
        <v>123</v>
      </c>
      <c r="G155" s="90" t="s">
        <v>122</v>
      </c>
      <c r="H155" s="393" t="s">
        <v>121</v>
      </c>
      <c r="I155" s="393" t="s">
        <v>62</v>
      </c>
      <c r="J155" s="89" t="s">
        <v>122</v>
      </c>
      <c r="K155" s="393" t="s">
        <v>121</v>
      </c>
      <c r="L155" s="393" t="s">
        <v>123</v>
      </c>
      <c r="M155" s="90" t="s">
        <v>122</v>
      </c>
    </row>
    <row r="156" spans="1:13" ht="25.5" x14ac:dyDescent="0.3">
      <c r="A156" s="394" t="s">
        <v>43</v>
      </c>
      <c r="B156" s="77">
        <v>2707</v>
      </c>
      <c r="C156" s="77">
        <v>37282</v>
      </c>
      <c r="D156" s="91">
        <v>13.77244181751016</v>
      </c>
      <c r="E156" s="77">
        <v>576</v>
      </c>
      <c r="F156" s="77">
        <v>3151</v>
      </c>
      <c r="G156" s="127">
        <v>5.4704861111111107</v>
      </c>
      <c r="H156" s="77">
        <v>14593</v>
      </c>
      <c r="I156" s="77">
        <v>208728</v>
      </c>
      <c r="J156" s="91">
        <v>14.303296100870281</v>
      </c>
      <c r="K156" s="77">
        <v>735</v>
      </c>
      <c r="L156" s="77">
        <v>5523</v>
      </c>
      <c r="M156" s="127">
        <v>7.5142857142857142</v>
      </c>
    </row>
    <row r="157" spans="1:13" ht="25.5" x14ac:dyDescent="0.3">
      <c r="A157" s="394" t="s">
        <v>41</v>
      </c>
      <c r="B157" s="77">
        <v>1265</v>
      </c>
      <c r="C157" s="77">
        <v>17185</v>
      </c>
      <c r="D157" s="91">
        <v>13.58498023715415</v>
      </c>
      <c r="E157" s="77">
        <v>564</v>
      </c>
      <c r="F157" s="77">
        <v>3407</v>
      </c>
      <c r="G157" s="127">
        <v>6.0407801418439719</v>
      </c>
      <c r="H157" s="77">
        <v>4564</v>
      </c>
      <c r="I157" s="77">
        <v>61802</v>
      </c>
      <c r="J157" s="91">
        <v>13.541191936897459</v>
      </c>
      <c r="K157" s="77">
        <v>259</v>
      </c>
      <c r="L157" s="77">
        <v>2000</v>
      </c>
      <c r="M157" s="127">
        <v>7.7220077220077217</v>
      </c>
    </row>
    <row r="158" spans="1:13" x14ac:dyDescent="0.3">
      <c r="A158" s="394" t="s">
        <v>39</v>
      </c>
      <c r="B158" s="77">
        <v>952</v>
      </c>
      <c r="C158" s="77">
        <v>10421</v>
      </c>
      <c r="D158" s="91">
        <v>10.946428571428571</v>
      </c>
      <c r="E158" s="77">
        <v>257</v>
      </c>
      <c r="F158" s="77">
        <v>2534</v>
      </c>
      <c r="G158" s="127">
        <v>9.8599221789883273</v>
      </c>
      <c r="H158" s="77">
        <v>4205</v>
      </c>
      <c r="I158" s="77">
        <v>48069</v>
      </c>
      <c r="J158" s="91">
        <v>11.431391200951248</v>
      </c>
      <c r="K158" s="77">
        <v>268</v>
      </c>
      <c r="L158" s="77">
        <v>2203</v>
      </c>
      <c r="M158" s="127">
        <v>8.2201492537313428</v>
      </c>
    </row>
    <row r="159" spans="1:13" ht="25.5" x14ac:dyDescent="0.3">
      <c r="A159" s="394" t="s">
        <v>44</v>
      </c>
      <c r="B159" s="77">
        <v>169</v>
      </c>
      <c r="C159" s="77">
        <v>1400</v>
      </c>
      <c r="D159" s="91">
        <v>8.2840236686390529</v>
      </c>
      <c r="E159" s="77">
        <v>48</v>
      </c>
      <c r="F159" s="77">
        <v>366</v>
      </c>
      <c r="G159" s="127">
        <v>7.625</v>
      </c>
      <c r="H159" s="77">
        <v>875</v>
      </c>
      <c r="I159" s="77">
        <v>6355</v>
      </c>
      <c r="J159" s="91">
        <v>7.2628571428571425</v>
      </c>
      <c r="K159" s="77">
        <v>67</v>
      </c>
      <c r="L159" s="77">
        <v>353</v>
      </c>
      <c r="M159" s="127">
        <v>5.2686567164179108</v>
      </c>
    </row>
    <row r="160" spans="1:13" ht="25.5" x14ac:dyDescent="0.3">
      <c r="A160" s="394" t="s">
        <v>40</v>
      </c>
      <c r="B160" s="77">
        <v>806</v>
      </c>
      <c r="C160" s="77">
        <v>8668</v>
      </c>
      <c r="D160" s="91">
        <v>10.754342431761787</v>
      </c>
      <c r="E160" s="77">
        <v>170</v>
      </c>
      <c r="F160" s="77">
        <v>750</v>
      </c>
      <c r="G160" s="127">
        <v>4.4117647058823533</v>
      </c>
      <c r="H160" s="77">
        <v>5049</v>
      </c>
      <c r="I160" s="77">
        <v>48796</v>
      </c>
      <c r="J160" s="91">
        <v>9.6644880174291945</v>
      </c>
      <c r="K160" s="77">
        <v>137</v>
      </c>
      <c r="L160" s="77">
        <v>883</v>
      </c>
      <c r="M160" s="127">
        <v>6.445255474452555</v>
      </c>
    </row>
    <row r="161" spans="1:13" x14ac:dyDescent="0.3">
      <c r="A161" s="394" t="s">
        <v>36</v>
      </c>
      <c r="B161" s="77">
        <v>457</v>
      </c>
      <c r="C161" s="77">
        <v>3900</v>
      </c>
      <c r="D161" s="91">
        <v>8.5339168490153181</v>
      </c>
      <c r="E161" s="77">
        <v>7</v>
      </c>
      <c r="F161" s="77">
        <v>28</v>
      </c>
      <c r="G161" s="127">
        <v>4</v>
      </c>
      <c r="H161" s="77">
        <v>3631</v>
      </c>
      <c r="I161" s="77">
        <v>31327</v>
      </c>
      <c r="J161" s="91">
        <v>8.6276507849077397</v>
      </c>
      <c r="K161" s="77">
        <v>78</v>
      </c>
      <c r="L161" s="77">
        <v>672</v>
      </c>
      <c r="M161" s="127">
        <v>8.615384615384615</v>
      </c>
    </row>
    <row r="162" spans="1:13" ht="25.5" x14ac:dyDescent="0.3">
      <c r="A162" s="394" t="s">
        <v>38</v>
      </c>
      <c r="B162" s="77">
        <v>118</v>
      </c>
      <c r="C162" s="77">
        <v>1968</v>
      </c>
      <c r="D162" s="91">
        <v>16.677966101694917</v>
      </c>
      <c r="E162" s="77">
        <v>9</v>
      </c>
      <c r="F162" s="77">
        <v>44</v>
      </c>
      <c r="G162" s="127">
        <v>4.8888888888888893</v>
      </c>
      <c r="H162" s="77">
        <v>664</v>
      </c>
      <c r="I162" s="77">
        <v>11502</v>
      </c>
      <c r="J162" s="91">
        <v>17.322289156626507</v>
      </c>
      <c r="K162" s="77">
        <v>35</v>
      </c>
      <c r="L162" s="77">
        <v>111</v>
      </c>
      <c r="M162" s="127">
        <v>3.1714285714285713</v>
      </c>
    </row>
    <row r="163" spans="1:13" x14ac:dyDescent="0.3">
      <c r="A163" s="394" t="s">
        <v>42</v>
      </c>
      <c r="B163" s="77">
        <v>82</v>
      </c>
      <c r="C163" s="77">
        <v>1239</v>
      </c>
      <c r="D163" s="91">
        <v>15.109756097560975</v>
      </c>
      <c r="E163" s="77">
        <v>10</v>
      </c>
      <c r="F163" s="77">
        <v>51</v>
      </c>
      <c r="G163" s="127">
        <v>5.0999999999999996</v>
      </c>
      <c r="H163" s="77">
        <v>729</v>
      </c>
      <c r="I163" s="77">
        <v>11117</v>
      </c>
      <c r="J163" s="91">
        <v>15.249657064471879</v>
      </c>
      <c r="K163" s="77">
        <v>13</v>
      </c>
      <c r="L163" s="77">
        <v>155</v>
      </c>
      <c r="M163" s="127">
        <v>11.923076923076923</v>
      </c>
    </row>
    <row r="164" spans="1:13" x14ac:dyDescent="0.3">
      <c r="A164" s="394" t="s">
        <v>37</v>
      </c>
      <c r="B164" s="77">
        <v>230</v>
      </c>
      <c r="C164" s="77">
        <v>2147</v>
      </c>
      <c r="D164" s="91">
        <v>9.3347826086956527</v>
      </c>
      <c r="E164" s="77">
        <v>125</v>
      </c>
      <c r="F164" s="77">
        <v>551</v>
      </c>
      <c r="G164" s="127">
        <v>4.4080000000000004</v>
      </c>
      <c r="H164" s="77">
        <v>1517</v>
      </c>
      <c r="I164" s="77">
        <v>12189</v>
      </c>
      <c r="J164" s="91">
        <v>8.0349373764007908</v>
      </c>
      <c r="K164" s="77">
        <v>123</v>
      </c>
      <c r="L164" s="77">
        <v>563</v>
      </c>
      <c r="M164" s="127">
        <v>4.5772357723577235</v>
      </c>
    </row>
    <row r="165" spans="1:13" ht="14.5" thickBot="1" x14ac:dyDescent="0.35">
      <c r="A165" s="128" t="s">
        <v>0</v>
      </c>
      <c r="B165" s="95">
        <v>6786</v>
      </c>
      <c r="C165" s="95">
        <v>84210</v>
      </c>
      <c r="D165" s="96">
        <v>12.409372236958443</v>
      </c>
      <c r="E165" s="95">
        <v>1766</v>
      </c>
      <c r="F165" s="95">
        <v>10882</v>
      </c>
      <c r="G165" s="97">
        <v>6.1619479048697618</v>
      </c>
      <c r="H165" s="95">
        <v>35827</v>
      </c>
      <c r="I165" s="95">
        <v>439885</v>
      </c>
      <c r="J165" s="96">
        <v>12.278030535629552</v>
      </c>
      <c r="K165" s="95">
        <v>1715</v>
      </c>
      <c r="L165" s="95">
        <v>12463</v>
      </c>
      <c r="M165" s="97">
        <v>7.2670553935860056</v>
      </c>
    </row>
    <row r="166" spans="1:13" ht="2" hidden="1" customHeight="1" x14ac:dyDescent="0.3">
      <c r="B166">
        <v>7737</v>
      </c>
      <c r="C166">
        <v>89703</v>
      </c>
      <c r="D166">
        <v>11.594028693291973</v>
      </c>
      <c r="E166">
        <v>1541</v>
      </c>
      <c r="F166">
        <v>11706</v>
      </c>
      <c r="G166">
        <v>7.5963659961064245</v>
      </c>
    </row>
    <row r="167" spans="1:13" ht="14" customHeight="1" x14ac:dyDescent="0.3">
      <c r="A167" s="665" t="s">
        <v>166</v>
      </c>
      <c r="B167" s="667" t="s">
        <v>169</v>
      </c>
      <c r="C167" s="667"/>
      <c r="D167" s="667"/>
      <c r="E167" s="667"/>
      <c r="F167" s="667"/>
      <c r="G167" s="668"/>
      <c r="H167" s="667" t="s">
        <v>170</v>
      </c>
      <c r="I167" s="667"/>
      <c r="J167" s="667"/>
      <c r="K167" s="667"/>
      <c r="L167" s="667"/>
      <c r="M167" s="668"/>
    </row>
    <row r="168" spans="1:13" x14ac:dyDescent="0.3">
      <c r="A168" s="666"/>
      <c r="B168" s="669" t="s">
        <v>119</v>
      </c>
      <c r="C168" s="669"/>
      <c r="D168" s="393"/>
      <c r="E168" s="669" t="s">
        <v>120</v>
      </c>
      <c r="F168" s="669"/>
      <c r="G168" s="670"/>
      <c r="H168" s="669" t="s">
        <v>119</v>
      </c>
      <c r="I168" s="669"/>
      <c r="J168" s="393"/>
      <c r="K168" s="669" t="s">
        <v>120</v>
      </c>
      <c r="L168" s="669"/>
      <c r="M168" s="670"/>
    </row>
    <row r="169" spans="1:13" ht="26" x14ac:dyDescent="0.3">
      <c r="A169" s="666"/>
      <c r="B169" s="393" t="s">
        <v>121</v>
      </c>
      <c r="C169" s="393" t="s">
        <v>62</v>
      </c>
      <c r="D169" s="89" t="s">
        <v>122</v>
      </c>
      <c r="E169" s="393" t="s">
        <v>121</v>
      </c>
      <c r="F169" s="393" t="s">
        <v>123</v>
      </c>
      <c r="G169" s="90" t="s">
        <v>122</v>
      </c>
      <c r="H169" s="393" t="s">
        <v>121</v>
      </c>
      <c r="I169" s="393" t="s">
        <v>62</v>
      </c>
      <c r="J169" s="89" t="s">
        <v>122</v>
      </c>
      <c r="K169" s="393" t="s">
        <v>121</v>
      </c>
      <c r="L169" s="393" t="s">
        <v>123</v>
      </c>
      <c r="M169" s="90" t="s">
        <v>122</v>
      </c>
    </row>
    <row r="170" spans="1:13" ht="25.5" x14ac:dyDescent="0.3">
      <c r="A170" s="394" t="s">
        <v>43</v>
      </c>
      <c r="B170" s="77">
        <v>197</v>
      </c>
      <c r="C170" s="77">
        <v>2853</v>
      </c>
      <c r="D170" s="91">
        <v>14.482233502538071</v>
      </c>
      <c r="E170" s="77">
        <v>7</v>
      </c>
      <c r="F170" s="77">
        <v>12</v>
      </c>
      <c r="G170" s="127">
        <v>1.7142857142857142</v>
      </c>
      <c r="H170" s="77">
        <v>957</v>
      </c>
      <c r="I170" s="77">
        <v>10815</v>
      </c>
      <c r="J170" s="91">
        <v>11.300940438871473</v>
      </c>
      <c r="K170" s="77">
        <v>1</v>
      </c>
      <c r="L170" s="77">
        <v>6</v>
      </c>
      <c r="M170" s="127">
        <v>6</v>
      </c>
    </row>
    <row r="171" spans="1:13" ht="25.5" x14ac:dyDescent="0.3">
      <c r="A171" s="394" t="s">
        <v>41</v>
      </c>
      <c r="B171" s="77">
        <v>77</v>
      </c>
      <c r="C171" s="77">
        <v>988</v>
      </c>
      <c r="D171" s="91">
        <v>12.831168831168831</v>
      </c>
      <c r="E171" s="77">
        <v>16</v>
      </c>
      <c r="F171" s="77">
        <v>62</v>
      </c>
      <c r="G171" s="127">
        <v>3.875</v>
      </c>
      <c r="H171" s="77">
        <v>715</v>
      </c>
      <c r="I171" s="77">
        <v>8707</v>
      </c>
      <c r="J171" s="91">
        <v>12.177622377622377</v>
      </c>
      <c r="K171" s="77">
        <v>46</v>
      </c>
      <c r="L171" s="77">
        <v>415</v>
      </c>
      <c r="M171" s="127">
        <v>9.0217391304347831</v>
      </c>
    </row>
    <row r="172" spans="1:13" x14ac:dyDescent="0.3">
      <c r="A172" s="394" t="s">
        <v>39</v>
      </c>
      <c r="B172" s="77">
        <v>100</v>
      </c>
      <c r="C172" s="77">
        <v>1530</v>
      </c>
      <c r="D172" s="91">
        <v>15.3</v>
      </c>
      <c r="E172" s="77">
        <v>589</v>
      </c>
      <c r="F172" s="77">
        <v>2204</v>
      </c>
      <c r="G172" s="127">
        <v>3.7419354838709675</v>
      </c>
      <c r="H172" s="77">
        <v>833</v>
      </c>
      <c r="I172" s="77">
        <v>10874</v>
      </c>
      <c r="J172" s="91">
        <v>13.054021608643458</v>
      </c>
      <c r="K172" s="77">
        <v>14</v>
      </c>
      <c r="L172" s="77">
        <v>92</v>
      </c>
      <c r="M172" s="127">
        <v>6.5714285714285712</v>
      </c>
    </row>
    <row r="173" spans="1:13" ht="25.5" x14ac:dyDescent="0.3">
      <c r="A173" s="394" t="s">
        <v>44</v>
      </c>
      <c r="B173" s="77">
        <v>14</v>
      </c>
      <c r="C173" s="77">
        <v>142</v>
      </c>
      <c r="D173" s="91">
        <v>10.142857142857142</v>
      </c>
      <c r="E173" s="77">
        <v>5</v>
      </c>
      <c r="F173" s="77">
        <v>23</v>
      </c>
      <c r="G173" s="127">
        <v>4.5999999999999996</v>
      </c>
      <c r="H173" s="77">
        <v>16</v>
      </c>
      <c r="I173" s="77">
        <v>273</v>
      </c>
      <c r="J173" s="91">
        <v>17.0625</v>
      </c>
      <c r="K173" s="77"/>
      <c r="L173" s="77"/>
      <c r="M173" s="127"/>
    </row>
    <row r="174" spans="1:13" ht="25.5" x14ac:dyDescent="0.3">
      <c r="A174" s="394" t="s">
        <v>40</v>
      </c>
      <c r="B174" s="77">
        <v>68</v>
      </c>
      <c r="C174" s="77">
        <v>707</v>
      </c>
      <c r="D174" s="91">
        <v>10.397058823529411</v>
      </c>
      <c r="E174" s="77">
        <v>4</v>
      </c>
      <c r="F174" s="77">
        <v>14</v>
      </c>
      <c r="G174" s="127">
        <v>3.5</v>
      </c>
      <c r="H174" s="77">
        <v>537</v>
      </c>
      <c r="I174" s="77">
        <v>5691</v>
      </c>
      <c r="J174" s="91">
        <v>10.597765363128492</v>
      </c>
      <c r="K174" s="77">
        <v>1</v>
      </c>
      <c r="L174" s="77">
        <v>2</v>
      </c>
      <c r="M174" s="127">
        <v>2</v>
      </c>
    </row>
    <row r="175" spans="1:13" x14ac:dyDescent="0.3">
      <c r="A175" s="394" t="s">
        <v>36</v>
      </c>
      <c r="B175" s="77">
        <v>133</v>
      </c>
      <c r="C175" s="77">
        <v>1187</v>
      </c>
      <c r="D175" s="91">
        <v>8.9248120300751879</v>
      </c>
      <c r="E175" s="77">
        <v>156</v>
      </c>
      <c r="F175" s="77">
        <v>675</v>
      </c>
      <c r="G175" s="127">
        <v>4.3269230769230766</v>
      </c>
      <c r="H175" s="77">
        <v>1126</v>
      </c>
      <c r="I175" s="77">
        <v>8772</v>
      </c>
      <c r="J175" s="91">
        <v>7.7904085257548843</v>
      </c>
      <c r="K175" s="77"/>
      <c r="L175" s="77"/>
      <c r="M175" s="127"/>
    </row>
    <row r="176" spans="1:13" ht="25.5" x14ac:dyDescent="0.3">
      <c r="A176" s="394" t="s">
        <v>38</v>
      </c>
      <c r="B176" s="77">
        <v>14</v>
      </c>
      <c r="C176" s="77">
        <v>132</v>
      </c>
      <c r="D176" s="91">
        <v>9.4285714285714288</v>
      </c>
      <c r="E176" s="77">
        <v>3</v>
      </c>
      <c r="F176" s="77">
        <v>8</v>
      </c>
      <c r="G176" s="127">
        <v>2.6666666666666665</v>
      </c>
      <c r="H176" s="77">
        <v>4</v>
      </c>
      <c r="I176" s="77">
        <v>66</v>
      </c>
      <c r="J176" s="91">
        <v>16.5</v>
      </c>
      <c r="K176" s="77"/>
      <c r="L176" s="77"/>
      <c r="M176" s="127"/>
    </row>
    <row r="177" spans="1:13" x14ac:dyDescent="0.3">
      <c r="A177" s="394" t="s">
        <v>42</v>
      </c>
      <c r="B177" s="77">
        <v>5</v>
      </c>
      <c r="C177" s="77">
        <v>65</v>
      </c>
      <c r="D177" s="91">
        <v>13</v>
      </c>
      <c r="E177" s="77"/>
      <c r="F177" s="77"/>
      <c r="G177" s="127" t="s">
        <v>162</v>
      </c>
      <c r="H177" s="77">
        <v>13</v>
      </c>
      <c r="I177" s="77">
        <v>133</v>
      </c>
      <c r="J177" s="91">
        <v>10.23076923076923</v>
      </c>
      <c r="K177" s="77"/>
      <c r="L177" s="77"/>
      <c r="M177" s="127"/>
    </row>
    <row r="178" spans="1:13" x14ac:dyDescent="0.3">
      <c r="A178" s="394" t="s">
        <v>37</v>
      </c>
      <c r="B178" s="77">
        <v>30</v>
      </c>
      <c r="C178" s="77">
        <v>406</v>
      </c>
      <c r="D178" s="91">
        <v>13.533333333333333</v>
      </c>
      <c r="E178" s="77">
        <v>35</v>
      </c>
      <c r="F178" s="77">
        <v>94</v>
      </c>
      <c r="G178" s="127">
        <v>2.6857142857142855</v>
      </c>
      <c r="H178" s="77">
        <v>29</v>
      </c>
      <c r="I178" s="77">
        <v>297</v>
      </c>
      <c r="J178" s="91">
        <v>10.241379310344827</v>
      </c>
      <c r="K178" s="77">
        <v>2</v>
      </c>
      <c r="L178" s="77">
        <v>2</v>
      </c>
      <c r="M178" s="127">
        <v>1</v>
      </c>
    </row>
    <row r="179" spans="1:13" ht="14.5" thickBot="1" x14ac:dyDescent="0.35">
      <c r="A179" s="128" t="s">
        <v>0</v>
      </c>
      <c r="B179" s="95">
        <v>638</v>
      </c>
      <c r="C179" s="95">
        <v>8010</v>
      </c>
      <c r="D179" s="96">
        <v>12.554858934169278</v>
      </c>
      <c r="E179" s="95">
        <v>815</v>
      </c>
      <c r="F179" s="95">
        <v>3092</v>
      </c>
      <c r="G179" s="97">
        <v>3.7938650306748465</v>
      </c>
      <c r="H179" s="95">
        <v>4230</v>
      </c>
      <c r="I179" s="95">
        <v>45628</v>
      </c>
      <c r="J179" s="96">
        <v>10.78676122931442</v>
      </c>
      <c r="K179" s="95">
        <v>64</v>
      </c>
      <c r="L179" s="95">
        <v>517</v>
      </c>
      <c r="M179" s="97">
        <v>8.078125</v>
      </c>
    </row>
    <row r="182" spans="1:13" x14ac:dyDescent="0.3">
      <c r="A182" s="33" t="s">
        <v>171</v>
      </c>
    </row>
    <row r="185" spans="1:13" x14ac:dyDescent="0.3">
      <c r="A185" s="126" t="s">
        <v>172</v>
      </c>
    </row>
    <row r="186" spans="1:13" x14ac:dyDescent="0.3">
      <c r="A186" s="126" t="s">
        <v>173</v>
      </c>
    </row>
    <row r="187" spans="1:13" x14ac:dyDescent="0.3">
      <c r="A187" s="126" t="s">
        <v>174</v>
      </c>
    </row>
    <row r="188" spans="1:13" x14ac:dyDescent="0.3">
      <c r="A188" s="126" t="s">
        <v>175</v>
      </c>
    </row>
    <row r="193" spans="1:13" x14ac:dyDescent="0.3">
      <c r="A193" s="441" t="s">
        <v>260</v>
      </c>
    </row>
    <row r="196" spans="1:13" ht="14.5" thickBot="1" x14ac:dyDescent="0.35"/>
    <row r="197" spans="1:13" ht="14" customHeight="1" x14ac:dyDescent="0.3">
      <c r="A197" s="665" t="s">
        <v>166</v>
      </c>
      <c r="B197" s="667" t="s">
        <v>167</v>
      </c>
      <c r="C197" s="667"/>
      <c r="D197" s="667"/>
      <c r="E197" s="667"/>
      <c r="F197" s="667"/>
      <c r="G197" s="668"/>
      <c r="H197" s="667" t="s">
        <v>168</v>
      </c>
      <c r="I197" s="667"/>
      <c r="J197" s="667"/>
      <c r="K197" s="667"/>
      <c r="L197" s="667"/>
      <c r="M197" s="668"/>
    </row>
    <row r="198" spans="1:13" x14ac:dyDescent="0.3">
      <c r="A198" s="666"/>
      <c r="B198" s="669" t="s">
        <v>119</v>
      </c>
      <c r="C198" s="669"/>
      <c r="D198" s="393"/>
      <c r="E198" s="669" t="s">
        <v>120</v>
      </c>
      <c r="F198" s="669"/>
      <c r="G198" s="670"/>
      <c r="H198" s="669" t="s">
        <v>119</v>
      </c>
      <c r="I198" s="669"/>
      <c r="J198" s="393"/>
      <c r="K198" s="669" t="s">
        <v>120</v>
      </c>
      <c r="L198" s="669"/>
      <c r="M198" s="670"/>
    </row>
    <row r="199" spans="1:13" ht="26" x14ac:dyDescent="0.3">
      <c r="A199" s="666"/>
      <c r="B199" s="393" t="s">
        <v>121</v>
      </c>
      <c r="C199" s="393" t="s">
        <v>62</v>
      </c>
      <c r="D199" s="89" t="s">
        <v>122</v>
      </c>
      <c r="E199" s="393" t="s">
        <v>121</v>
      </c>
      <c r="F199" s="393" t="s">
        <v>123</v>
      </c>
      <c r="G199" s="90" t="s">
        <v>122</v>
      </c>
      <c r="H199" s="393" t="s">
        <v>121</v>
      </c>
      <c r="I199" s="393" t="s">
        <v>62</v>
      </c>
      <c r="J199" s="89" t="s">
        <v>122</v>
      </c>
      <c r="K199" s="393" t="s">
        <v>121</v>
      </c>
      <c r="L199" s="393" t="s">
        <v>123</v>
      </c>
      <c r="M199" s="90" t="s">
        <v>122</v>
      </c>
    </row>
    <row r="200" spans="1:13" ht="25.5" x14ac:dyDescent="0.3">
      <c r="A200" s="394" t="s">
        <v>43</v>
      </c>
      <c r="B200" s="77">
        <v>1864</v>
      </c>
      <c r="C200" s="77">
        <v>27595</v>
      </c>
      <c r="D200" s="91">
        <v>14.804184549356224</v>
      </c>
      <c r="E200" s="77">
        <v>483</v>
      </c>
      <c r="F200" s="77">
        <v>2507</v>
      </c>
      <c r="G200" s="127">
        <v>5.1904761904761907</v>
      </c>
      <c r="H200" s="77">
        <v>8975</v>
      </c>
      <c r="I200" s="77">
        <v>133829</v>
      </c>
      <c r="J200" s="91">
        <v>14.911309192200557</v>
      </c>
      <c r="K200" s="77">
        <v>390</v>
      </c>
      <c r="L200" s="77">
        <v>2887</v>
      </c>
      <c r="M200" s="127">
        <v>7.4025641025641029</v>
      </c>
    </row>
    <row r="201" spans="1:13" ht="25.5" x14ac:dyDescent="0.3">
      <c r="A201" s="394" t="s">
        <v>41</v>
      </c>
      <c r="B201" s="77">
        <v>1609</v>
      </c>
      <c r="C201" s="77">
        <v>20508</v>
      </c>
      <c r="D201" s="91">
        <v>12.74580484773151</v>
      </c>
      <c r="E201" s="77">
        <v>713</v>
      </c>
      <c r="F201" s="77">
        <v>4626</v>
      </c>
      <c r="G201" s="127">
        <v>6.4880785413744739</v>
      </c>
      <c r="H201" s="77">
        <v>5753</v>
      </c>
      <c r="I201" s="77">
        <v>78817</v>
      </c>
      <c r="J201" s="91">
        <v>13.700156440118199</v>
      </c>
      <c r="K201" s="77">
        <v>320</v>
      </c>
      <c r="L201" s="77">
        <v>2423</v>
      </c>
      <c r="M201" s="127">
        <v>7.5718750000000004</v>
      </c>
    </row>
    <row r="202" spans="1:13" x14ac:dyDescent="0.3">
      <c r="A202" s="394" t="s">
        <v>39</v>
      </c>
      <c r="B202" s="77">
        <v>1451</v>
      </c>
      <c r="C202" s="77">
        <v>17012</v>
      </c>
      <c r="D202" s="91">
        <v>11.724328049620951</v>
      </c>
      <c r="E202" s="77">
        <v>480</v>
      </c>
      <c r="F202" s="77">
        <v>4520</v>
      </c>
      <c r="G202" s="127">
        <v>9.4166666666666661</v>
      </c>
      <c r="H202" s="77">
        <v>5918</v>
      </c>
      <c r="I202" s="77">
        <v>69344</v>
      </c>
      <c r="J202" s="91">
        <v>11.717472118959108</v>
      </c>
      <c r="K202" s="77">
        <v>436</v>
      </c>
      <c r="L202" s="77">
        <v>3919</v>
      </c>
      <c r="M202" s="127">
        <v>8.988532110091743</v>
      </c>
    </row>
    <row r="203" spans="1:13" ht="25.5" x14ac:dyDescent="0.3">
      <c r="A203" s="394" t="s">
        <v>44</v>
      </c>
      <c r="B203" s="77">
        <v>170</v>
      </c>
      <c r="C203" s="77">
        <v>1757</v>
      </c>
      <c r="D203" s="91">
        <v>10.335294117647059</v>
      </c>
      <c r="E203" s="77">
        <v>108</v>
      </c>
      <c r="F203" s="77">
        <v>695</v>
      </c>
      <c r="G203" s="127">
        <v>6.4351851851851851</v>
      </c>
      <c r="H203" s="77">
        <v>974</v>
      </c>
      <c r="I203" s="77">
        <v>7232</v>
      </c>
      <c r="J203" s="91">
        <v>7.4250513347022586</v>
      </c>
      <c r="K203" s="77">
        <v>94</v>
      </c>
      <c r="L203" s="77">
        <v>671</v>
      </c>
      <c r="M203" s="127">
        <v>7.1382978723404253</v>
      </c>
    </row>
    <row r="204" spans="1:13" ht="25.5" x14ac:dyDescent="0.3">
      <c r="A204" s="394" t="s">
        <v>40</v>
      </c>
      <c r="B204" s="77">
        <v>1402</v>
      </c>
      <c r="C204" s="77">
        <v>13286</v>
      </c>
      <c r="D204" s="91">
        <v>9.4764621968616254</v>
      </c>
      <c r="E204" s="77">
        <v>250</v>
      </c>
      <c r="F204" s="77">
        <v>1437</v>
      </c>
      <c r="G204" s="127">
        <v>5.7480000000000002</v>
      </c>
      <c r="H204" s="77">
        <v>8317</v>
      </c>
      <c r="I204" s="77">
        <v>80745</v>
      </c>
      <c r="J204" s="91">
        <v>9.7084285198990017</v>
      </c>
      <c r="K204" s="77">
        <v>256</v>
      </c>
      <c r="L204" s="77">
        <v>2319</v>
      </c>
      <c r="M204" s="127">
        <v>9.05859375</v>
      </c>
    </row>
    <row r="205" spans="1:13" x14ac:dyDescent="0.3">
      <c r="A205" s="394" t="s">
        <v>36</v>
      </c>
      <c r="B205" s="77">
        <v>173</v>
      </c>
      <c r="C205" s="77">
        <v>1469</v>
      </c>
      <c r="D205" s="91">
        <v>8.4913294797687868</v>
      </c>
      <c r="E205" s="77">
        <v>4</v>
      </c>
      <c r="F205" s="77">
        <v>110</v>
      </c>
      <c r="G205" s="127">
        <v>27.5</v>
      </c>
      <c r="H205" s="77">
        <v>1261</v>
      </c>
      <c r="I205" s="77">
        <v>11104</v>
      </c>
      <c r="J205" s="91">
        <v>8.8057097541633631</v>
      </c>
      <c r="K205" s="77">
        <v>25</v>
      </c>
      <c r="L205" s="77">
        <v>245</v>
      </c>
      <c r="M205" s="127">
        <v>9.8000000000000007</v>
      </c>
    </row>
    <row r="206" spans="1:13" ht="25.5" x14ac:dyDescent="0.3">
      <c r="A206" s="394" t="s">
        <v>38</v>
      </c>
      <c r="B206" s="77">
        <v>84</v>
      </c>
      <c r="C206" s="77">
        <v>1271</v>
      </c>
      <c r="D206" s="91">
        <v>15.130952380952381</v>
      </c>
      <c r="E206" s="77">
        <v>18</v>
      </c>
      <c r="F206" s="77">
        <v>79</v>
      </c>
      <c r="G206" s="127">
        <v>4.3888888888888893</v>
      </c>
      <c r="H206" s="77">
        <v>600</v>
      </c>
      <c r="I206" s="77">
        <v>9499</v>
      </c>
      <c r="J206" s="91">
        <v>15.831666666666667</v>
      </c>
      <c r="K206" s="77">
        <v>30</v>
      </c>
      <c r="L206" s="77">
        <v>211</v>
      </c>
      <c r="M206" s="127">
        <v>7.0333333333333332</v>
      </c>
    </row>
    <row r="207" spans="1:13" x14ac:dyDescent="0.3">
      <c r="A207" s="394" t="s">
        <v>42</v>
      </c>
      <c r="B207" s="77">
        <v>56</v>
      </c>
      <c r="C207" s="77">
        <v>633</v>
      </c>
      <c r="D207" s="91">
        <v>11.303571428571429</v>
      </c>
      <c r="E207" s="77">
        <v>5</v>
      </c>
      <c r="F207" s="77">
        <v>37</v>
      </c>
      <c r="G207" s="127">
        <v>7.4</v>
      </c>
      <c r="H207" s="77">
        <v>391</v>
      </c>
      <c r="I207" s="77">
        <v>5492</v>
      </c>
      <c r="J207" s="91">
        <v>14.046035805626598</v>
      </c>
      <c r="K207" s="77">
        <v>14</v>
      </c>
      <c r="L207" s="77">
        <v>112</v>
      </c>
      <c r="M207" s="127">
        <v>8</v>
      </c>
    </row>
    <row r="208" spans="1:13" x14ac:dyDescent="0.3">
      <c r="A208" s="394" t="s">
        <v>37</v>
      </c>
      <c r="B208" s="77">
        <v>356</v>
      </c>
      <c r="C208" s="77">
        <v>4868</v>
      </c>
      <c r="D208" s="91">
        <v>13.674157303370787</v>
      </c>
      <c r="E208" s="77">
        <v>514</v>
      </c>
      <c r="F208" s="77">
        <v>7102</v>
      </c>
      <c r="G208" s="127">
        <v>13.817120622568094</v>
      </c>
      <c r="H208" s="77">
        <v>1640</v>
      </c>
      <c r="I208" s="77">
        <v>15262</v>
      </c>
      <c r="J208" s="91">
        <v>9.3060975609756103</v>
      </c>
      <c r="K208" s="77">
        <v>340</v>
      </c>
      <c r="L208" s="77">
        <v>4150</v>
      </c>
      <c r="M208" s="127">
        <v>12.205882352941176</v>
      </c>
    </row>
    <row r="209" spans="1:13" ht="14.5" thickBot="1" x14ac:dyDescent="0.35">
      <c r="A209" s="128" t="s">
        <v>0</v>
      </c>
      <c r="B209" s="95">
        <v>7165</v>
      </c>
      <c r="C209" s="95">
        <v>88399</v>
      </c>
      <c r="D209" s="96">
        <v>12.337613398464759</v>
      </c>
      <c r="E209" s="95">
        <v>2575</v>
      </c>
      <c r="F209" s="95">
        <v>21113</v>
      </c>
      <c r="G209" s="97">
        <v>8.199223300970873</v>
      </c>
      <c r="H209" s="95">
        <v>33829</v>
      </c>
      <c r="I209" s="95">
        <v>411324</v>
      </c>
      <c r="J209" s="96">
        <v>12.158916905613527</v>
      </c>
      <c r="K209" s="95">
        <v>1905</v>
      </c>
      <c r="L209" s="95">
        <v>16937</v>
      </c>
      <c r="M209" s="97">
        <v>8.8908136482939639</v>
      </c>
    </row>
    <row r="210" spans="1:13" ht="2" hidden="1" customHeight="1" x14ac:dyDescent="0.3"/>
    <row r="211" spans="1:13" ht="14" customHeight="1" x14ac:dyDescent="0.3">
      <c r="A211" s="665" t="s">
        <v>166</v>
      </c>
      <c r="B211" s="667" t="s">
        <v>169</v>
      </c>
      <c r="C211" s="667"/>
      <c r="D211" s="667"/>
      <c r="E211" s="667"/>
      <c r="F211" s="667"/>
      <c r="G211" s="668"/>
      <c r="H211" s="667" t="s">
        <v>170</v>
      </c>
      <c r="I211" s="667"/>
      <c r="J211" s="667"/>
      <c r="K211" s="667"/>
      <c r="L211" s="667"/>
      <c r="M211" s="668"/>
    </row>
    <row r="212" spans="1:13" x14ac:dyDescent="0.3">
      <c r="A212" s="666"/>
      <c r="B212" s="669" t="s">
        <v>119</v>
      </c>
      <c r="C212" s="669"/>
      <c r="D212" s="393"/>
      <c r="E212" s="669" t="s">
        <v>120</v>
      </c>
      <c r="F212" s="669"/>
      <c r="G212" s="670"/>
      <c r="H212" s="669" t="s">
        <v>119</v>
      </c>
      <c r="I212" s="669"/>
      <c r="J212" s="393"/>
      <c r="K212" s="669" t="s">
        <v>120</v>
      </c>
      <c r="L212" s="669"/>
      <c r="M212" s="670"/>
    </row>
    <row r="213" spans="1:13" ht="26" x14ac:dyDescent="0.3">
      <c r="A213" s="666"/>
      <c r="B213" s="393" t="s">
        <v>121</v>
      </c>
      <c r="C213" s="393" t="s">
        <v>62</v>
      </c>
      <c r="D213" s="89" t="s">
        <v>122</v>
      </c>
      <c r="E213" s="393" t="s">
        <v>121</v>
      </c>
      <c r="F213" s="393" t="s">
        <v>123</v>
      </c>
      <c r="G213" s="90" t="s">
        <v>122</v>
      </c>
      <c r="H213" s="393" t="s">
        <v>121</v>
      </c>
      <c r="I213" s="393" t="s">
        <v>62</v>
      </c>
      <c r="J213" s="89" t="s">
        <v>122</v>
      </c>
      <c r="K213" s="393" t="s">
        <v>121</v>
      </c>
      <c r="L213" s="393" t="s">
        <v>123</v>
      </c>
      <c r="M213" s="90" t="s">
        <v>122</v>
      </c>
    </row>
    <row r="214" spans="1:13" ht="25.5" x14ac:dyDescent="0.3">
      <c r="A214" s="394" t="s">
        <v>43</v>
      </c>
      <c r="B214" s="77">
        <v>93</v>
      </c>
      <c r="C214" s="77">
        <v>1334</v>
      </c>
      <c r="D214" s="91">
        <v>14.344086021505376</v>
      </c>
      <c r="E214" s="77">
        <v>1</v>
      </c>
      <c r="F214" s="77">
        <v>1</v>
      </c>
      <c r="G214" s="127">
        <v>1</v>
      </c>
      <c r="H214" s="77">
        <v>675</v>
      </c>
      <c r="I214" s="77">
        <v>7910</v>
      </c>
      <c r="J214" s="91">
        <v>11.718518518518518</v>
      </c>
      <c r="K214" s="77">
        <v>3</v>
      </c>
      <c r="L214" s="77">
        <v>32</v>
      </c>
      <c r="M214" s="127">
        <v>10.666666666666666</v>
      </c>
    </row>
    <row r="215" spans="1:13" ht="25.5" x14ac:dyDescent="0.3">
      <c r="A215" s="394" t="s">
        <v>41</v>
      </c>
      <c r="B215" s="77">
        <v>97</v>
      </c>
      <c r="C215" s="77">
        <v>1403</v>
      </c>
      <c r="D215" s="91">
        <v>14.463917525773196</v>
      </c>
      <c r="E215" s="77">
        <v>13</v>
      </c>
      <c r="F215" s="77">
        <v>51</v>
      </c>
      <c r="G215" s="127">
        <v>3.9230769230769229</v>
      </c>
      <c r="H215" s="77">
        <v>904</v>
      </c>
      <c r="I215" s="77">
        <v>11996</v>
      </c>
      <c r="J215" s="91">
        <v>13.269911504424778</v>
      </c>
      <c r="K215" s="77">
        <v>67</v>
      </c>
      <c r="L215" s="77">
        <v>586</v>
      </c>
      <c r="M215" s="127">
        <v>8.7462686567164187</v>
      </c>
    </row>
    <row r="216" spans="1:13" x14ac:dyDescent="0.3">
      <c r="A216" s="394" t="s">
        <v>39</v>
      </c>
      <c r="B216" s="77">
        <v>119</v>
      </c>
      <c r="C216" s="77">
        <v>1748</v>
      </c>
      <c r="D216" s="91">
        <v>14.6890756302521</v>
      </c>
      <c r="E216" s="77">
        <v>606</v>
      </c>
      <c r="F216" s="77">
        <v>2109</v>
      </c>
      <c r="G216" s="127">
        <v>3.4801980198019802</v>
      </c>
      <c r="H216" s="77">
        <v>1341</v>
      </c>
      <c r="I216" s="77">
        <v>17209</v>
      </c>
      <c r="J216" s="91">
        <v>12.83296047725578</v>
      </c>
      <c r="K216" s="77">
        <v>15</v>
      </c>
      <c r="L216" s="77">
        <v>111</v>
      </c>
      <c r="M216" s="127">
        <v>7.4</v>
      </c>
    </row>
    <row r="217" spans="1:13" ht="25.5" x14ac:dyDescent="0.3">
      <c r="A217" s="394" t="s">
        <v>44</v>
      </c>
      <c r="B217" s="77">
        <v>17</v>
      </c>
      <c r="C217" s="77">
        <v>190</v>
      </c>
      <c r="D217" s="91">
        <v>11.176470588235293</v>
      </c>
      <c r="E217" s="77">
        <v>20</v>
      </c>
      <c r="F217" s="77">
        <v>95</v>
      </c>
      <c r="G217" s="127">
        <v>4.75</v>
      </c>
      <c r="H217" s="77">
        <v>28</v>
      </c>
      <c r="I217" s="77">
        <v>539</v>
      </c>
      <c r="J217" s="91">
        <v>19.25</v>
      </c>
      <c r="K217" s="77">
        <v>2</v>
      </c>
      <c r="L217" s="77">
        <v>64</v>
      </c>
      <c r="M217" s="127">
        <v>32</v>
      </c>
    </row>
    <row r="218" spans="1:13" ht="25.5" x14ac:dyDescent="0.3">
      <c r="A218" s="394" t="s">
        <v>40</v>
      </c>
      <c r="B218" s="77">
        <v>131</v>
      </c>
      <c r="C218" s="77">
        <v>1430</v>
      </c>
      <c r="D218" s="91">
        <v>10.916030534351146</v>
      </c>
      <c r="E218" s="77">
        <v>2</v>
      </c>
      <c r="F218" s="77">
        <v>11</v>
      </c>
      <c r="G218" s="127">
        <v>5.5</v>
      </c>
      <c r="H218" s="77">
        <v>727</v>
      </c>
      <c r="I218" s="77">
        <v>9645</v>
      </c>
      <c r="J218" s="91">
        <v>13.26685006877579</v>
      </c>
      <c r="K218" s="77"/>
      <c r="L218" s="77"/>
      <c r="M218" s="127"/>
    </row>
    <row r="219" spans="1:13" x14ac:dyDescent="0.3">
      <c r="A219" s="394" t="s">
        <v>36</v>
      </c>
      <c r="B219" s="77">
        <v>50</v>
      </c>
      <c r="C219" s="77">
        <v>556</v>
      </c>
      <c r="D219" s="91">
        <v>11.12</v>
      </c>
      <c r="E219" s="77">
        <v>56</v>
      </c>
      <c r="F219" s="77">
        <v>263</v>
      </c>
      <c r="G219" s="127">
        <v>4.6964285714285712</v>
      </c>
      <c r="H219" s="77">
        <v>446</v>
      </c>
      <c r="I219" s="77">
        <v>3526</v>
      </c>
      <c r="J219" s="91">
        <v>7.9058295964125564</v>
      </c>
      <c r="K219" s="77"/>
      <c r="L219" s="77"/>
      <c r="M219" s="127"/>
    </row>
    <row r="220" spans="1:13" ht="25.5" x14ac:dyDescent="0.3">
      <c r="A220" s="394" t="s">
        <v>38</v>
      </c>
      <c r="B220" s="77">
        <v>14</v>
      </c>
      <c r="C220" s="77">
        <v>181</v>
      </c>
      <c r="D220" s="91">
        <v>12.928571428571429</v>
      </c>
      <c r="E220" s="77">
        <v>8</v>
      </c>
      <c r="F220" s="77">
        <v>34</v>
      </c>
      <c r="G220" s="127">
        <v>4.25</v>
      </c>
      <c r="H220" s="77">
        <v>10</v>
      </c>
      <c r="I220" s="77">
        <v>200</v>
      </c>
      <c r="J220" s="91">
        <v>20</v>
      </c>
      <c r="K220" s="77"/>
      <c r="L220" s="77"/>
      <c r="M220" s="127"/>
    </row>
    <row r="221" spans="1:13" x14ac:dyDescent="0.3">
      <c r="A221" s="394" t="s">
        <v>42</v>
      </c>
      <c r="B221" s="77">
        <v>2</v>
      </c>
      <c r="C221" s="77">
        <v>42</v>
      </c>
      <c r="D221" s="91">
        <v>21</v>
      </c>
      <c r="E221" s="77"/>
      <c r="F221" s="77"/>
      <c r="G221" s="127" t="s">
        <v>162</v>
      </c>
      <c r="H221" s="77">
        <v>10</v>
      </c>
      <c r="I221" s="77">
        <v>120</v>
      </c>
      <c r="J221" s="91">
        <v>12</v>
      </c>
      <c r="K221" s="77"/>
      <c r="L221" s="77"/>
      <c r="M221" s="127"/>
    </row>
    <row r="222" spans="1:13" x14ac:dyDescent="0.3">
      <c r="A222" s="394" t="s">
        <v>37</v>
      </c>
      <c r="B222" s="77">
        <v>78</v>
      </c>
      <c r="C222" s="77">
        <v>1145</v>
      </c>
      <c r="D222" s="91">
        <v>14.679487179487179</v>
      </c>
      <c r="E222" s="77">
        <v>147</v>
      </c>
      <c r="F222" s="77">
        <v>298</v>
      </c>
      <c r="G222" s="127">
        <v>2.0272108843537415</v>
      </c>
      <c r="H222" s="77">
        <v>47</v>
      </c>
      <c r="I222" s="77">
        <v>495</v>
      </c>
      <c r="J222" s="91">
        <v>10.531914893617021</v>
      </c>
      <c r="K222" s="77"/>
      <c r="L222" s="77"/>
      <c r="M222" s="127"/>
    </row>
    <row r="223" spans="1:13" ht="14.5" thickBot="1" x14ac:dyDescent="0.35">
      <c r="A223" s="128" t="s">
        <v>0</v>
      </c>
      <c r="B223" s="95">
        <v>601</v>
      </c>
      <c r="C223" s="95">
        <v>8029</v>
      </c>
      <c r="D223" s="96">
        <v>13.359400998336106</v>
      </c>
      <c r="E223" s="95">
        <v>853</v>
      </c>
      <c r="F223" s="95">
        <v>2862</v>
      </c>
      <c r="G223" s="97">
        <v>3.3552168815943726</v>
      </c>
      <c r="H223" s="95">
        <v>4188</v>
      </c>
      <c r="I223" s="95">
        <v>51640</v>
      </c>
      <c r="J223" s="96">
        <v>12.330468003820439</v>
      </c>
      <c r="K223" s="95">
        <v>87</v>
      </c>
      <c r="L223" s="95">
        <v>793</v>
      </c>
      <c r="M223" s="97">
        <v>9.1149425287356323</v>
      </c>
    </row>
    <row r="226" spans="1:11" x14ac:dyDescent="0.3">
      <c r="A226" s="33" t="s">
        <v>171</v>
      </c>
    </row>
    <row r="229" spans="1:11" x14ac:dyDescent="0.3">
      <c r="A229" s="126" t="s">
        <v>172</v>
      </c>
    </row>
    <row r="230" spans="1:11" x14ac:dyDescent="0.3">
      <c r="A230" s="126" t="s">
        <v>173</v>
      </c>
    </row>
    <row r="231" spans="1:11" x14ac:dyDescent="0.3">
      <c r="A231" s="126" t="s">
        <v>174</v>
      </c>
    </row>
    <row r="232" spans="1:11" x14ac:dyDescent="0.3">
      <c r="A232" s="126" t="s">
        <v>175</v>
      </c>
    </row>
    <row r="233" spans="1:11" s="243" customFormat="1" x14ac:dyDescent="0.3"/>
    <row r="234" spans="1:11" ht="54.75" customHeight="1" x14ac:dyDescent="0.3">
      <c r="A234" s="478" t="s">
        <v>217</v>
      </c>
      <c r="B234" s="671"/>
      <c r="C234" s="671"/>
      <c r="D234" s="671"/>
      <c r="E234" s="671"/>
      <c r="F234" s="671"/>
      <c r="G234" s="671"/>
      <c r="H234" s="671"/>
      <c r="I234" s="671"/>
      <c r="J234" s="671"/>
      <c r="K234" s="671"/>
    </row>
    <row r="235" spans="1:11" ht="14.5" thickBot="1" x14ac:dyDescent="0.35"/>
    <row r="236" spans="1:11" ht="36" customHeight="1" x14ac:dyDescent="0.3">
      <c r="A236" s="678" t="s">
        <v>76</v>
      </c>
      <c r="B236" s="680" t="s">
        <v>131</v>
      </c>
      <c r="C236" s="680"/>
      <c r="D236" s="680"/>
      <c r="E236" s="680"/>
      <c r="F236" s="101" t="s">
        <v>132</v>
      </c>
      <c r="G236" s="681" t="s">
        <v>0</v>
      </c>
    </row>
    <row r="237" spans="1:11" ht="112.5" customHeight="1" x14ac:dyDescent="0.3">
      <c r="A237" s="679"/>
      <c r="B237" s="102" t="s">
        <v>133</v>
      </c>
      <c r="C237" s="102" t="s">
        <v>134</v>
      </c>
      <c r="D237" s="102" t="s">
        <v>135</v>
      </c>
      <c r="E237" s="102" t="s">
        <v>136</v>
      </c>
      <c r="F237" s="102" t="s">
        <v>137</v>
      </c>
      <c r="G237" s="682"/>
    </row>
    <row r="238" spans="1:11" x14ac:dyDescent="0.3">
      <c r="A238" s="79" t="s">
        <v>3</v>
      </c>
      <c r="B238" s="319">
        <v>97277.182010000004</v>
      </c>
      <c r="C238" s="319">
        <v>22542.459750000002</v>
      </c>
      <c r="D238" s="319">
        <v>129322.44278</v>
      </c>
      <c r="E238" s="319">
        <v>249142.08454000001</v>
      </c>
      <c r="F238" s="319">
        <v>15908.938879307167</v>
      </c>
      <c r="G238" s="320">
        <v>265051.0234193072</v>
      </c>
    </row>
    <row r="239" spans="1:11" x14ac:dyDescent="0.3">
      <c r="A239" s="79" t="s">
        <v>96</v>
      </c>
      <c r="B239" s="319">
        <v>930.32799</v>
      </c>
      <c r="C239" s="319">
        <v>113.5047</v>
      </c>
      <c r="D239" s="319">
        <v>3802.8742699999998</v>
      </c>
      <c r="E239" s="319">
        <v>4846.7069599999995</v>
      </c>
      <c r="F239" s="319">
        <v>952.81869618800374</v>
      </c>
      <c r="G239" s="320">
        <v>5799.5256561880033</v>
      </c>
    </row>
    <row r="240" spans="1:11" x14ac:dyDescent="0.3">
      <c r="A240" s="79" t="s">
        <v>5</v>
      </c>
      <c r="B240" s="319">
        <v>199643.85500000001</v>
      </c>
      <c r="C240" s="319">
        <v>78162.817999999999</v>
      </c>
      <c r="D240" s="319">
        <v>259610.033</v>
      </c>
      <c r="E240" s="319">
        <v>537416.70600000001</v>
      </c>
      <c r="F240" s="319">
        <v>31938.596161640926</v>
      </c>
      <c r="G240" s="320">
        <v>569355.30216164095</v>
      </c>
    </row>
    <row r="241" spans="1:7" x14ac:dyDescent="0.3">
      <c r="A241" s="79" t="s">
        <v>23</v>
      </c>
      <c r="B241" s="319">
        <v>31182.416000000001</v>
      </c>
      <c r="C241" s="319">
        <v>59.627000000000002</v>
      </c>
      <c r="D241" s="319">
        <v>15912.797</v>
      </c>
      <c r="E241" s="319">
        <v>47154.840000000004</v>
      </c>
      <c r="F241" s="319">
        <v>3392.2804026479303</v>
      </c>
      <c r="G241" s="320">
        <v>50547.120402647932</v>
      </c>
    </row>
    <row r="242" spans="1:7" x14ac:dyDescent="0.3">
      <c r="A242" s="79" t="s">
        <v>24</v>
      </c>
      <c r="B242" s="319">
        <v>39896.879380000006</v>
      </c>
      <c r="C242" s="319">
        <v>837.05848000000003</v>
      </c>
      <c r="D242" s="319">
        <v>5148.0962399999999</v>
      </c>
      <c r="E242" s="319">
        <v>45882.034100000004</v>
      </c>
      <c r="F242" s="319">
        <v>1768.800223705997</v>
      </c>
      <c r="G242" s="320">
        <v>47650.834323706003</v>
      </c>
    </row>
    <row r="243" spans="1:7" x14ac:dyDescent="0.3">
      <c r="A243" s="79" t="s">
        <v>6</v>
      </c>
      <c r="B243" s="319">
        <v>112026.33631999999</v>
      </c>
      <c r="C243" s="319">
        <v>31404.655989999999</v>
      </c>
      <c r="D243" s="319">
        <v>103091.04123999999</v>
      </c>
      <c r="E243" s="319">
        <v>246522.03354999999</v>
      </c>
      <c r="F243" s="319">
        <v>20023.124848988944</v>
      </c>
      <c r="G243" s="320">
        <v>266545.15839898895</v>
      </c>
    </row>
    <row r="244" spans="1:7" x14ac:dyDescent="0.3">
      <c r="A244" s="79" t="s">
        <v>22</v>
      </c>
      <c r="B244" s="319">
        <v>24749.643260000001</v>
      </c>
      <c r="C244" s="319">
        <v>21039.076870000001</v>
      </c>
      <c r="D244" s="319">
        <v>41645.5219</v>
      </c>
      <c r="E244" s="319">
        <v>87434.242029999994</v>
      </c>
      <c r="F244" s="319">
        <v>1426.8045082500014</v>
      </c>
      <c r="G244" s="320">
        <v>88861.046538249997</v>
      </c>
    </row>
    <row r="245" spans="1:7" x14ac:dyDescent="0.3">
      <c r="A245" s="79" t="s">
        <v>7</v>
      </c>
      <c r="B245" s="319">
        <v>57120.233999999997</v>
      </c>
      <c r="C245" s="319">
        <v>4273.7569999999996</v>
      </c>
      <c r="D245" s="319">
        <v>64054.074999999997</v>
      </c>
      <c r="E245" s="319">
        <v>125448.06599999999</v>
      </c>
      <c r="F245" s="319">
        <v>6979.9097833851429</v>
      </c>
      <c r="G245" s="320">
        <v>132427.97578338513</v>
      </c>
    </row>
    <row r="246" spans="1:7" x14ac:dyDescent="0.3">
      <c r="A246" s="79" t="s">
        <v>8</v>
      </c>
      <c r="B246" s="319">
        <v>140122.36771000002</v>
      </c>
      <c r="C246" s="319">
        <v>12732.937240000001</v>
      </c>
      <c r="D246" s="319">
        <v>149848.39493000001</v>
      </c>
      <c r="E246" s="319">
        <v>302703.69988000003</v>
      </c>
      <c r="F246" s="319">
        <v>19509.642917195048</v>
      </c>
      <c r="G246" s="320">
        <v>322213.34279719507</v>
      </c>
    </row>
    <row r="247" spans="1:7" x14ac:dyDescent="0.3">
      <c r="A247" s="79" t="s">
        <v>9</v>
      </c>
      <c r="B247" s="319">
        <v>138909.601</v>
      </c>
      <c r="C247" s="319">
        <v>29486.378000000001</v>
      </c>
      <c r="D247" s="319">
        <v>97955.883000000002</v>
      </c>
      <c r="E247" s="319">
        <v>266351.86199999996</v>
      </c>
      <c r="F247" s="319">
        <v>14048.449090261704</v>
      </c>
      <c r="G247" s="320">
        <v>280400.31109026168</v>
      </c>
    </row>
    <row r="248" spans="1:7" x14ac:dyDescent="0.3">
      <c r="A248" s="79" t="s">
        <v>10</v>
      </c>
      <c r="B248" s="319">
        <v>24106.797420000003</v>
      </c>
      <c r="C248" s="319">
        <v>8651.0939899999994</v>
      </c>
      <c r="D248" s="319">
        <v>31895.867050000001</v>
      </c>
      <c r="E248" s="319">
        <v>64653.758460000005</v>
      </c>
      <c r="F248" s="319">
        <v>1677.4799938479998</v>
      </c>
      <c r="G248" s="320">
        <v>66331.238453848011</v>
      </c>
    </row>
    <row r="249" spans="1:7" x14ac:dyDescent="0.3">
      <c r="A249" s="79" t="s">
        <v>11</v>
      </c>
      <c r="B249" s="319">
        <v>34994.444229999994</v>
      </c>
      <c r="C249" s="319">
        <v>4322.1745499999997</v>
      </c>
      <c r="D249" s="319">
        <v>53159.922159999995</v>
      </c>
      <c r="E249" s="319">
        <v>92476.540939999977</v>
      </c>
      <c r="F249" s="319">
        <v>5223.8099140659415</v>
      </c>
      <c r="G249" s="320">
        <v>97700.350854065924</v>
      </c>
    </row>
    <row r="250" spans="1:7" x14ac:dyDescent="0.3">
      <c r="A250" s="79" t="s">
        <v>12</v>
      </c>
      <c r="B250" s="319">
        <v>173416.29191</v>
      </c>
      <c r="C250" s="319">
        <v>47336.404130000003</v>
      </c>
      <c r="D250" s="319">
        <v>109246.50448</v>
      </c>
      <c r="E250" s="319">
        <v>329999.20052000001</v>
      </c>
      <c r="F250" s="319">
        <v>16184.919813053286</v>
      </c>
      <c r="G250" s="320">
        <v>346184.12033305329</v>
      </c>
    </row>
    <row r="251" spans="1:7" x14ac:dyDescent="0.3">
      <c r="A251" s="79" t="s">
        <v>13</v>
      </c>
      <c r="B251" s="319">
        <v>29298.324760000003</v>
      </c>
      <c r="C251" s="319">
        <v>11669.382039999999</v>
      </c>
      <c r="D251" s="319">
        <v>32736.263640000001</v>
      </c>
      <c r="E251" s="319">
        <v>73703.970440000005</v>
      </c>
      <c r="F251" s="319">
        <v>3665.7654966278992</v>
      </c>
      <c r="G251" s="320">
        <v>77369.735936627898</v>
      </c>
    </row>
    <row r="252" spans="1:7" x14ac:dyDescent="0.3">
      <c r="A252" s="79" t="s">
        <v>14</v>
      </c>
      <c r="B252" s="319">
        <v>10029.440550000001</v>
      </c>
      <c r="C252" s="319">
        <v>4326.5568300000004</v>
      </c>
      <c r="D252" s="319">
        <v>2007.7361799999999</v>
      </c>
      <c r="E252" s="319">
        <v>16363.733560000001</v>
      </c>
      <c r="F252" s="319">
        <v>591.49607134500161</v>
      </c>
      <c r="G252" s="320">
        <v>16955.229631345002</v>
      </c>
    </row>
    <row r="253" spans="1:7" x14ac:dyDescent="0.3">
      <c r="A253" s="79" t="s">
        <v>15</v>
      </c>
      <c r="B253" s="319">
        <v>61630.25748</v>
      </c>
      <c r="C253" s="319">
        <v>37491.862159999997</v>
      </c>
      <c r="D253" s="319">
        <v>68354.22795</v>
      </c>
      <c r="E253" s="319">
        <v>167476.34758999999</v>
      </c>
      <c r="F253" s="319">
        <v>7824.2134498121231</v>
      </c>
      <c r="G253" s="320">
        <v>175300.56103981211</v>
      </c>
    </row>
    <row r="254" spans="1:7" x14ac:dyDescent="0.3">
      <c r="A254" s="79" t="s">
        <v>16</v>
      </c>
      <c r="B254" s="319">
        <v>97744.726250000007</v>
      </c>
      <c r="C254" s="319">
        <v>30942.173190000001</v>
      </c>
      <c r="D254" s="319">
        <v>154596.76196999999</v>
      </c>
      <c r="E254" s="319">
        <v>283283.66141</v>
      </c>
      <c r="F254" s="319">
        <v>12050.736050507716</v>
      </c>
      <c r="G254" s="320">
        <v>295334.39746050769</v>
      </c>
    </row>
    <row r="255" spans="1:7" x14ac:dyDescent="0.3">
      <c r="A255" s="79" t="s">
        <v>17</v>
      </c>
      <c r="B255" s="319">
        <v>3455.61789</v>
      </c>
      <c r="C255" s="319">
        <v>1529.75431</v>
      </c>
      <c r="D255" s="319">
        <v>21327.52579</v>
      </c>
      <c r="E255" s="319">
        <v>26312.897989999998</v>
      </c>
      <c r="F255" s="319">
        <v>1233.1249345500034</v>
      </c>
      <c r="G255" s="320">
        <v>27546.022924550001</v>
      </c>
    </row>
    <row r="256" spans="1:7" x14ac:dyDescent="0.3">
      <c r="A256" s="79" t="s">
        <v>262</v>
      </c>
      <c r="B256" s="319">
        <v>60353.907570000003</v>
      </c>
      <c r="C256" s="319">
        <v>4412.3594299999995</v>
      </c>
      <c r="D256" s="319">
        <v>34150.627209999999</v>
      </c>
      <c r="E256" s="319">
        <v>98916.894209999999</v>
      </c>
      <c r="F256" s="319">
        <v>3885.8746942498788</v>
      </c>
      <c r="G256" s="320">
        <v>102802.76890424988</v>
      </c>
    </row>
    <row r="257" spans="1:11" x14ac:dyDescent="0.3">
      <c r="A257" s="79" t="s">
        <v>19</v>
      </c>
      <c r="B257" s="319">
        <v>155257.61799999999</v>
      </c>
      <c r="C257" s="319">
        <v>43932.05</v>
      </c>
      <c r="D257" s="319">
        <v>177145.386</v>
      </c>
      <c r="E257" s="319">
        <v>376335.054</v>
      </c>
      <c r="F257" s="319">
        <v>19155.522383490399</v>
      </c>
      <c r="G257" s="320">
        <v>395490.57638349041</v>
      </c>
    </row>
    <row r="258" spans="1:11" x14ac:dyDescent="0.3">
      <c r="A258" s="79" t="s">
        <v>20</v>
      </c>
      <c r="B258" s="319">
        <v>80723.369640000004</v>
      </c>
      <c r="C258" s="319">
        <v>8949.6721400000006</v>
      </c>
      <c r="D258" s="319">
        <v>40335.344640000003</v>
      </c>
      <c r="E258" s="319">
        <v>130008.38642</v>
      </c>
      <c r="F258" s="319">
        <v>4575.6104625718954</v>
      </c>
      <c r="G258" s="320">
        <v>134583.9968825719</v>
      </c>
    </row>
    <row r="259" spans="1:11" ht="14.5" thickBot="1" x14ac:dyDescent="0.35">
      <c r="A259" s="103" t="s">
        <v>1</v>
      </c>
      <c r="B259" s="321">
        <v>1572869.6383700001</v>
      </c>
      <c r="C259" s="321">
        <v>404215.75579999998</v>
      </c>
      <c r="D259" s="321">
        <v>1595347.3264300004</v>
      </c>
      <c r="E259" s="321">
        <v>3572432.7206000006</v>
      </c>
      <c r="F259" s="321">
        <v>192017.91877569302</v>
      </c>
      <c r="G259" s="322">
        <v>3764450.6393756936</v>
      </c>
    </row>
    <row r="260" spans="1:11" x14ac:dyDescent="0.3">
      <c r="A260" t="s">
        <v>261</v>
      </c>
    </row>
    <row r="262" spans="1:11" ht="59.25" customHeight="1" thickBot="1" x14ac:dyDescent="0.35">
      <c r="A262" s="478" t="s">
        <v>263</v>
      </c>
      <c r="B262" s="479"/>
      <c r="C262" s="479"/>
      <c r="D262" s="479"/>
      <c r="E262" s="479"/>
      <c r="F262" s="479"/>
      <c r="G262" s="479"/>
      <c r="H262" s="479"/>
      <c r="I262" s="479"/>
      <c r="J262" s="479"/>
      <c r="K262" s="479"/>
    </row>
    <row r="263" spans="1:11" ht="55" customHeight="1" x14ac:dyDescent="0.3">
      <c r="A263" s="347" t="s">
        <v>138</v>
      </c>
      <c r="B263" s="348" t="s">
        <v>43</v>
      </c>
      <c r="C263" s="348" t="s">
        <v>41</v>
      </c>
      <c r="D263" s="348" t="s">
        <v>39</v>
      </c>
      <c r="E263" s="348" t="s">
        <v>44</v>
      </c>
      <c r="F263" s="348" t="s">
        <v>199</v>
      </c>
      <c r="G263" s="348" t="s">
        <v>36</v>
      </c>
      <c r="H263" s="348" t="s">
        <v>38</v>
      </c>
      <c r="I263" s="348" t="s">
        <v>42</v>
      </c>
      <c r="J263" s="348" t="s">
        <v>37</v>
      </c>
      <c r="K263" s="349" t="s">
        <v>139</v>
      </c>
    </row>
    <row r="264" spans="1:11" x14ac:dyDescent="0.3">
      <c r="A264" s="395" t="s">
        <v>194</v>
      </c>
      <c r="B264" s="350">
        <v>3171</v>
      </c>
      <c r="C264" s="350">
        <v>270</v>
      </c>
      <c r="D264" s="350">
        <v>1480</v>
      </c>
      <c r="E264" s="350">
        <v>23202</v>
      </c>
      <c r="F264" s="350">
        <v>6766</v>
      </c>
      <c r="G264" s="350">
        <v>4540</v>
      </c>
      <c r="H264" s="350">
        <v>3005</v>
      </c>
      <c r="I264" s="350">
        <v>34</v>
      </c>
      <c r="J264" s="350">
        <v>32338</v>
      </c>
      <c r="K264" s="351">
        <v>74806</v>
      </c>
    </row>
    <row r="265" spans="1:11" x14ac:dyDescent="0.3">
      <c r="A265" s="352" t="s">
        <v>25</v>
      </c>
      <c r="B265" s="353">
        <v>1567</v>
      </c>
      <c r="C265" s="353">
        <v>75</v>
      </c>
      <c r="D265" s="353">
        <v>383</v>
      </c>
      <c r="E265" s="353">
        <v>10490</v>
      </c>
      <c r="F265" s="353">
        <v>3694</v>
      </c>
      <c r="G265" s="353">
        <v>2479</v>
      </c>
      <c r="H265" s="353">
        <v>1116</v>
      </c>
      <c r="I265" s="353">
        <v>26</v>
      </c>
      <c r="J265" s="353">
        <v>16446</v>
      </c>
      <c r="K265" s="354">
        <v>36276</v>
      </c>
    </row>
    <row r="266" spans="1:11" x14ac:dyDescent="0.3">
      <c r="A266" s="352" t="s">
        <v>26</v>
      </c>
      <c r="B266" s="353">
        <v>1459</v>
      </c>
      <c r="C266" s="353">
        <v>191</v>
      </c>
      <c r="D266" s="353">
        <v>1077</v>
      </c>
      <c r="E266" s="353">
        <v>12314</v>
      </c>
      <c r="F266" s="353">
        <v>3064</v>
      </c>
      <c r="G266" s="353">
        <v>1916</v>
      </c>
      <c r="H266" s="353">
        <v>1829</v>
      </c>
      <c r="I266" s="353">
        <v>8</v>
      </c>
      <c r="J266" s="353">
        <v>14365</v>
      </c>
      <c r="K266" s="354">
        <v>36223</v>
      </c>
    </row>
    <row r="267" spans="1:11" x14ac:dyDescent="0.3">
      <c r="A267" s="352" t="s">
        <v>140</v>
      </c>
      <c r="B267" s="353">
        <v>145</v>
      </c>
      <c r="C267" s="353">
        <v>4</v>
      </c>
      <c r="D267" s="353">
        <v>20</v>
      </c>
      <c r="E267" s="353">
        <v>398</v>
      </c>
      <c r="F267" s="353">
        <v>8</v>
      </c>
      <c r="G267" s="353">
        <v>145</v>
      </c>
      <c r="H267" s="353">
        <v>60</v>
      </c>
      <c r="I267" s="353"/>
      <c r="J267" s="353">
        <v>1527</v>
      </c>
      <c r="K267" s="354">
        <v>2307</v>
      </c>
    </row>
    <row r="268" spans="1:11" x14ac:dyDescent="0.3">
      <c r="A268" s="395" t="s">
        <v>200</v>
      </c>
      <c r="B268" s="420">
        <v>6080</v>
      </c>
      <c r="C268" s="420">
        <v>779</v>
      </c>
      <c r="D268" s="420">
        <v>2802</v>
      </c>
      <c r="E268" s="420">
        <v>24946</v>
      </c>
      <c r="F268" s="420">
        <v>6124</v>
      </c>
      <c r="G268" s="420">
        <v>6456</v>
      </c>
      <c r="H268" s="420">
        <v>3936</v>
      </c>
      <c r="I268" s="420">
        <v>118</v>
      </c>
      <c r="J268" s="420">
        <v>14879</v>
      </c>
      <c r="K268" s="421">
        <v>66120</v>
      </c>
    </row>
    <row r="269" spans="1:11" x14ac:dyDescent="0.3">
      <c r="A269" s="396" t="s">
        <v>25</v>
      </c>
      <c r="B269" s="353">
        <v>3505</v>
      </c>
      <c r="C269" s="353">
        <v>356</v>
      </c>
      <c r="D269" s="353">
        <v>1034</v>
      </c>
      <c r="E269" s="353">
        <v>10952</v>
      </c>
      <c r="F269" s="353">
        <v>2211</v>
      </c>
      <c r="G269" s="353">
        <v>3961</v>
      </c>
      <c r="H269" s="353">
        <v>1644</v>
      </c>
      <c r="I269" s="353">
        <v>59</v>
      </c>
      <c r="J269" s="353">
        <v>7741</v>
      </c>
      <c r="K269" s="354">
        <v>31463</v>
      </c>
    </row>
    <row r="270" spans="1:11" x14ac:dyDescent="0.3">
      <c r="A270" s="396" t="s">
        <v>26</v>
      </c>
      <c r="B270" s="353">
        <v>2538</v>
      </c>
      <c r="C270" s="353">
        <v>419</v>
      </c>
      <c r="D270" s="353">
        <v>1758</v>
      </c>
      <c r="E270" s="353">
        <v>13912</v>
      </c>
      <c r="F270" s="353">
        <v>3908</v>
      </c>
      <c r="G270" s="353">
        <v>2472</v>
      </c>
      <c r="H270" s="353">
        <v>2286</v>
      </c>
      <c r="I270" s="353">
        <v>59</v>
      </c>
      <c r="J270" s="353">
        <v>7135</v>
      </c>
      <c r="K270" s="354">
        <v>34487</v>
      </c>
    </row>
    <row r="271" spans="1:11" x14ac:dyDescent="0.3">
      <c r="A271" s="352" t="s">
        <v>140</v>
      </c>
      <c r="B271" s="353">
        <v>37</v>
      </c>
      <c r="C271" s="353">
        <v>4</v>
      </c>
      <c r="D271" s="353">
        <v>10</v>
      </c>
      <c r="E271" s="353">
        <v>82</v>
      </c>
      <c r="F271" s="353">
        <v>5</v>
      </c>
      <c r="G271" s="353">
        <v>23</v>
      </c>
      <c r="H271" s="353">
        <v>6</v>
      </c>
      <c r="I271" s="353"/>
      <c r="J271" s="353">
        <v>3</v>
      </c>
      <c r="K271" s="354">
        <v>170</v>
      </c>
    </row>
    <row r="272" spans="1:11" x14ac:dyDescent="0.3">
      <c r="A272" s="395" t="s">
        <v>195</v>
      </c>
      <c r="B272" s="420">
        <v>16045</v>
      </c>
      <c r="C272" s="420">
        <v>2566</v>
      </c>
      <c r="D272" s="420">
        <v>6108</v>
      </c>
      <c r="E272" s="420">
        <v>64550</v>
      </c>
      <c r="F272" s="420">
        <v>11236</v>
      </c>
      <c r="G272" s="420">
        <v>13654</v>
      </c>
      <c r="H272" s="420">
        <v>9250</v>
      </c>
      <c r="I272" s="420">
        <v>138</v>
      </c>
      <c r="J272" s="420">
        <v>41766</v>
      </c>
      <c r="K272" s="421">
        <v>165313</v>
      </c>
    </row>
    <row r="273" spans="1:11" x14ac:dyDescent="0.3">
      <c r="A273" s="396" t="s">
        <v>25</v>
      </c>
      <c r="B273" s="353">
        <v>10100</v>
      </c>
      <c r="C273" s="353">
        <v>1311</v>
      </c>
      <c r="D273" s="353">
        <v>2793</v>
      </c>
      <c r="E273" s="353">
        <v>30441</v>
      </c>
      <c r="F273" s="353">
        <v>5603</v>
      </c>
      <c r="G273" s="353">
        <v>9861</v>
      </c>
      <c r="H273" s="353">
        <v>4405</v>
      </c>
      <c r="I273" s="353">
        <v>84</v>
      </c>
      <c r="J273" s="353">
        <v>21715</v>
      </c>
      <c r="K273" s="354">
        <v>86313</v>
      </c>
    </row>
    <row r="274" spans="1:11" x14ac:dyDescent="0.3">
      <c r="A274" s="396" t="s">
        <v>26</v>
      </c>
      <c r="B274" s="353">
        <v>5826</v>
      </c>
      <c r="C274" s="353">
        <v>1242</v>
      </c>
      <c r="D274" s="353">
        <v>3291</v>
      </c>
      <c r="E274" s="353">
        <v>33898</v>
      </c>
      <c r="F274" s="353">
        <v>5630</v>
      </c>
      <c r="G274" s="353">
        <v>3740</v>
      </c>
      <c r="H274" s="353">
        <v>4833</v>
      </c>
      <c r="I274" s="353">
        <v>54</v>
      </c>
      <c r="J274" s="353">
        <v>20044</v>
      </c>
      <c r="K274" s="354">
        <v>78558</v>
      </c>
    </row>
    <row r="275" spans="1:11" x14ac:dyDescent="0.3">
      <c r="A275" s="397" t="s">
        <v>140</v>
      </c>
      <c r="B275" s="353">
        <v>119</v>
      </c>
      <c r="C275" s="353">
        <v>13</v>
      </c>
      <c r="D275" s="353">
        <v>24</v>
      </c>
      <c r="E275" s="353">
        <v>211</v>
      </c>
      <c r="F275" s="353">
        <v>3</v>
      </c>
      <c r="G275" s="353">
        <v>53</v>
      </c>
      <c r="H275" s="353">
        <v>12</v>
      </c>
      <c r="I275" s="353"/>
      <c r="J275" s="353">
        <v>7</v>
      </c>
      <c r="K275" s="354">
        <v>442</v>
      </c>
    </row>
    <row r="276" spans="1:11" x14ac:dyDescent="0.3">
      <c r="A276" s="395" t="s">
        <v>196</v>
      </c>
      <c r="B276" s="420">
        <v>15249</v>
      </c>
      <c r="C276" s="420">
        <v>3412</v>
      </c>
      <c r="D276" s="420">
        <v>8724</v>
      </c>
      <c r="E276" s="420">
        <v>66333</v>
      </c>
      <c r="F276" s="420">
        <v>11456</v>
      </c>
      <c r="G276" s="420">
        <v>12063</v>
      </c>
      <c r="H276" s="420">
        <v>9723</v>
      </c>
      <c r="I276" s="420">
        <v>82</v>
      </c>
      <c r="J276" s="420">
        <v>46956</v>
      </c>
      <c r="K276" s="421">
        <v>173998</v>
      </c>
    </row>
    <row r="277" spans="1:11" x14ac:dyDescent="0.3">
      <c r="A277" s="396" t="s">
        <v>25</v>
      </c>
      <c r="B277" s="353">
        <v>8170</v>
      </c>
      <c r="C277" s="353">
        <v>1485</v>
      </c>
      <c r="D277" s="353">
        <v>3714</v>
      </c>
      <c r="E277" s="353">
        <v>29929</v>
      </c>
      <c r="F277" s="353">
        <v>6103</v>
      </c>
      <c r="G277" s="353">
        <v>8559</v>
      </c>
      <c r="H277" s="353">
        <v>4275</v>
      </c>
      <c r="I277" s="353">
        <v>50</v>
      </c>
      <c r="J277" s="353">
        <v>25241</v>
      </c>
      <c r="K277" s="354">
        <v>87526</v>
      </c>
    </row>
    <row r="278" spans="1:11" x14ac:dyDescent="0.3">
      <c r="A278" s="396" t="s">
        <v>26</v>
      </c>
      <c r="B278" s="353">
        <v>6982</v>
      </c>
      <c r="C278" s="353">
        <v>1910</v>
      </c>
      <c r="D278" s="353">
        <v>4983</v>
      </c>
      <c r="E278" s="353">
        <v>36217</v>
      </c>
      <c r="F278" s="353">
        <v>5351</v>
      </c>
      <c r="G278" s="353">
        <v>3481</v>
      </c>
      <c r="H278" s="353">
        <v>5436</v>
      </c>
      <c r="I278" s="353">
        <v>32</v>
      </c>
      <c r="J278" s="353">
        <v>21709</v>
      </c>
      <c r="K278" s="354">
        <v>86101</v>
      </c>
    </row>
    <row r="279" spans="1:11" x14ac:dyDescent="0.3">
      <c r="A279" s="397" t="s">
        <v>140</v>
      </c>
      <c r="B279" s="353">
        <v>97</v>
      </c>
      <c r="C279" s="353">
        <v>17</v>
      </c>
      <c r="D279" s="353">
        <v>27</v>
      </c>
      <c r="E279" s="353">
        <v>187</v>
      </c>
      <c r="F279" s="353">
        <v>2</v>
      </c>
      <c r="G279" s="353">
        <v>23</v>
      </c>
      <c r="H279" s="353">
        <v>12</v>
      </c>
      <c r="I279" s="353"/>
      <c r="J279" s="353">
        <v>6</v>
      </c>
      <c r="K279" s="354">
        <v>371</v>
      </c>
    </row>
    <row r="280" spans="1:11" x14ac:dyDescent="0.3">
      <c r="A280" s="395" t="s">
        <v>197</v>
      </c>
      <c r="B280" s="420">
        <v>3559</v>
      </c>
      <c r="C280" s="420">
        <v>942</v>
      </c>
      <c r="D280" s="420">
        <v>2825</v>
      </c>
      <c r="E280" s="420">
        <v>21626</v>
      </c>
      <c r="F280" s="420">
        <v>4636</v>
      </c>
      <c r="G280" s="420">
        <v>1956</v>
      </c>
      <c r="H280" s="420">
        <v>4789</v>
      </c>
      <c r="I280" s="420">
        <v>8</v>
      </c>
      <c r="J280" s="420">
        <v>18673</v>
      </c>
      <c r="K280" s="421">
        <v>59014</v>
      </c>
    </row>
    <row r="281" spans="1:11" x14ac:dyDescent="0.3">
      <c r="A281" s="396" t="s">
        <v>25</v>
      </c>
      <c r="B281" s="353">
        <v>1646</v>
      </c>
      <c r="C281" s="353">
        <v>377</v>
      </c>
      <c r="D281" s="353">
        <v>993</v>
      </c>
      <c r="E281" s="353">
        <v>9571</v>
      </c>
      <c r="F281" s="353">
        <v>2548</v>
      </c>
      <c r="G281" s="353">
        <v>1290</v>
      </c>
      <c r="H281" s="353">
        <v>2172</v>
      </c>
      <c r="I281" s="353">
        <v>5</v>
      </c>
      <c r="J281" s="353">
        <v>9667</v>
      </c>
      <c r="K281" s="354">
        <v>28269</v>
      </c>
    </row>
    <row r="282" spans="1:11" x14ac:dyDescent="0.3">
      <c r="A282" s="396" t="s">
        <v>26</v>
      </c>
      <c r="B282" s="353">
        <v>1875</v>
      </c>
      <c r="C282" s="353">
        <v>562</v>
      </c>
      <c r="D282" s="353">
        <v>1816</v>
      </c>
      <c r="E282" s="353">
        <v>11991</v>
      </c>
      <c r="F282" s="353">
        <v>2088</v>
      </c>
      <c r="G282" s="353">
        <v>662</v>
      </c>
      <c r="H282" s="353">
        <v>2607</v>
      </c>
      <c r="I282" s="353">
        <v>3</v>
      </c>
      <c r="J282" s="353">
        <v>9006</v>
      </c>
      <c r="K282" s="354">
        <v>30610</v>
      </c>
    </row>
    <row r="283" spans="1:11" x14ac:dyDescent="0.3">
      <c r="A283" s="397" t="s">
        <v>140</v>
      </c>
      <c r="B283" s="353">
        <v>38</v>
      </c>
      <c r="C283" s="353">
        <v>3</v>
      </c>
      <c r="D283" s="353">
        <v>16</v>
      </c>
      <c r="E283" s="353">
        <v>64</v>
      </c>
      <c r="F283" s="353"/>
      <c r="G283" s="353">
        <v>4</v>
      </c>
      <c r="H283" s="353">
        <v>10</v>
      </c>
      <c r="I283" s="353"/>
      <c r="J283" s="353"/>
      <c r="K283" s="354">
        <v>135</v>
      </c>
    </row>
    <row r="284" spans="1:11" x14ac:dyDescent="0.3">
      <c r="A284" s="395" t="s">
        <v>141</v>
      </c>
      <c r="B284" s="420">
        <v>5408</v>
      </c>
      <c r="C284" s="420">
        <v>524</v>
      </c>
      <c r="D284" s="420">
        <v>2341</v>
      </c>
      <c r="E284" s="420">
        <v>29816</v>
      </c>
      <c r="F284" s="420">
        <v>8235</v>
      </c>
      <c r="G284" s="420">
        <v>1420</v>
      </c>
      <c r="H284" s="420">
        <v>20907</v>
      </c>
      <c r="I284" s="420">
        <v>2</v>
      </c>
      <c r="J284" s="420">
        <v>28209</v>
      </c>
      <c r="K284" s="421">
        <v>96862</v>
      </c>
    </row>
    <row r="285" spans="1:11" x14ac:dyDescent="0.3">
      <c r="A285" s="396" t="s">
        <v>25</v>
      </c>
      <c r="B285" s="353">
        <v>2428</v>
      </c>
      <c r="C285" s="353">
        <v>210</v>
      </c>
      <c r="D285" s="353">
        <v>787</v>
      </c>
      <c r="E285" s="353">
        <v>11630</v>
      </c>
      <c r="F285" s="353">
        <v>3828</v>
      </c>
      <c r="G285" s="353">
        <v>704</v>
      </c>
      <c r="H285" s="353">
        <v>8579</v>
      </c>
      <c r="I285" s="353">
        <v>2</v>
      </c>
      <c r="J285" s="353">
        <v>12749</v>
      </c>
      <c r="K285" s="354">
        <v>40917</v>
      </c>
    </row>
    <row r="286" spans="1:11" x14ac:dyDescent="0.3">
      <c r="A286" s="396" t="s">
        <v>26</v>
      </c>
      <c r="B286" s="353">
        <v>2969</v>
      </c>
      <c r="C286" s="353">
        <v>312</v>
      </c>
      <c r="D286" s="353">
        <v>1552</v>
      </c>
      <c r="E286" s="353">
        <v>18138</v>
      </c>
      <c r="F286" s="353">
        <v>4406</v>
      </c>
      <c r="G286" s="353">
        <v>715</v>
      </c>
      <c r="H286" s="353">
        <v>12301</v>
      </c>
      <c r="I286" s="353"/>
      <c r="J286" s="353">
        <v>15456</v>
      </c>
      <c r="K286" s="354">
        <v>55849</v>
      </c>
    </row>
    <row r="287" spans="1:11" x14ac:dyDescent="0.3">
      <c r="A287" s="396" t="s">
        <v>140</v>
      </c>
      <c r="B287" s="353">
        <v>11</v>
      </c>
      <c r="C287" s="353">
        <v>2</v>
      </c>
      <c r="D287" s="353">
        <v>2</v>
      </c>
      <c r="E287" s="353">
        <v>48</v>
      </c>
      <c r="F287" s="353">
        <v>1</v>
      </c>
      <c r="G287" s="353">
        <v>1</v>
      </c>
      <c r="H287" s="353">
        <v>27</v>
      </c>
      <c r="I287" s="353"/>
      <c r="J287" s="353">
        <v>4</v>
      </c>
      <c r="K287" s="354">
        <v>96</v>
      </c>
    </row>
    <row r="288" spans="1:11" ht="33" customHeight="1" x14ac:dyDescent="0.3">
      <c r="A288" s="395" t="s">
        <v>142</v>
      </c>
      <c r="B288" s="350">
        <v>27416</v>
      </c>
      <c r="C288" s="350">
        <v>3814</v>
      </c>
      <c r="D288" s="350">
        <v>9704</v>
      </c>
      <c r="E288" s="350">
        <v>103013</v>
      </c>
      <c r="F288" s="350">
        <v>23987</v>
      </c>
      <c r="G288" s="350">
        <v>26854</v>
      </c>
      <c r="H288" s="350">
        <v>22191</v>
      </c>
      <c r="I288" s="350">
        <v>226</v>
      </c>
      <c r="J288" s="350">
        <v>93559</v>
      </c>
      <c r="K288" s="351">
        <v>310764</v>
      </c>
    </row>
    <row r="289" spans="1:11" x14ac:dyDescent="0.3">
      <c r="A289" s="395" t="s">
        <v>143</v>
      </c>
      <c r="B289" s="350">
        <v>21649</v>
      </c>
      <c r="C289" s="350">
        <v>4636</v>
      </c>
      <c r="D289" s="350">
        <v>14477</v>
      </c>
      <c r="E289" s="350">
        <v>126470</v>
      </c>
      <c r="F289" s="350">
        <v>24447</v>
      </c>
      <c r="G289" s="350">
        <v>12986</v>
      </c>
      <c r="H289" s="350">
        <v>29292</v>
      </c>
      <c r="I289" s="350">
        <v>156</v>
      </c>
      <c r="J289" s="350">
        <v>87715</v>
      </c>
      <c r="K289" s="351">
        <v>321828</v>
      </c>
    </row>
    <row r="290" spans="1:11" x14ac:dyDescent="0.3">
      <c r="A290" s="398" t="s">
        <v>144</v>
      </c>
      <c r="B290" s="350">
        <v>447</v>
      </c>
      <c r="C290" s="350">
        <v>43</v>
      </c>
      <c r="D290" s="350">
        <v>99</v>
      </c>
      <c r="E290" s="350">
        <v>990</v>
      </c>
      <c r="F290" s="350">
        <v>19</v>
      </c>
      <c r="G290" s="350">
        <v>249</v>
      </c>
      <c r="H290" s="350">
        <v>127</v>
      </c>
      <c r="I290" s="350">
        <v>0</v>
      </c>
      <c r="J290" s="350">
        <v>1547</v>
      </c>
      <c r="K290" s="351">
        <v>3521</v>
      </c>
    </row>
    <row r="291" spans="1:11" ht="14.5" thickBot="1" x14ac:dyDescent="0.35">
      <c r="A291" s="399" t="s">
        <v>1</v>
      </c>
      <c r="B291" s="422">
        <v>49512</v>
      </c>
      <c r="C291" s="422">
        <v>8493</v>
      </c>
      <c r="D291" s="422">
        <v>24280</v>
      </c>
      <c r="E291" s="422">
        <v>230473</v>
      </c>
      <c r="F291" s="422">
        <v>48453</v>
      </c>
      <c r="G291" s="422">
        <v>40089</v>
      </c>
      <c r="H291" s="422">
        <v>51610</v>
      </c>
      <c r="I291" s="422">
        <v>382</v>
      </c>
      <c r="J291" s="422">
        <v>182821</v>
      </c>
      <c r="K291" s="423">
        <v>636113</v>
      </c>
    </row>
    <row r="295" spans="1:11" ht="47.25" customHeight="1" x14ac:dyDescent="0.3">
      <c r="A295" s="478" t="s">
        <v>264</v>
      </c>
      <c r="B295" s="479"/>
      <c r="C295" s="479"/>
      <c r="D295" s="479"/>
      <c r="E295" s="479"/>
      <c r="F295" s="479"/>
      <c r="G295" s="479"/>
      <c r="H295" s="479"/>
      <c r="I295" s="479"/>
      <c r="J295" s="479"/>
      <c r="K295" s="479"/>
    </row>
    <row r="296" spans="1:11" ht="14.5" thickBot="1" x14ac:dyDescent="0.35"/>
    <row r="297" spans="1:11" ht="42" x14ac:dyDescent="0.3">
      <c r="A297" s="19" t="s">
        <v>2</v>
      </c>
      <c r="B297" s="348" t="s">
        <v>43</v>
      </c>
      <c r="C297" s="348" t="s">
        <v>201</v>
      </c>
      <c r="D297" s="348" t="s">
        <v>39</v>
      </c>
      <c r="E297" s="348" t="s">
        <v>44</v>
      </c>
      <c r="F297" s="348" t="s">
        <v>199</v>
      </c>
      <c r="G297" s="348" t="s">
        <v>36</v>
      </c>
      <c r="H297" s="348" t="s">
        <v>38</v>
      </c>
      <c r="I297" s="348" t="s">
        <v>42</v>
      </c>
      <c r="J297" s="348" t="s">
        <v>37</v>
      </c>
      <c r="K297" s="349" t="s">
        <v>139</v>
      </c>
    </row>
    <row r="298" spans="1:11" x14ac:dyDescent="0.3">
      <c r="A298" s="104" t="s">
        <v>3</v>
      </c>
      <c r="B298" s="355">
        <v>4878</v>
      </c>
      <c r="C298" s="355">
        <v>1309</v>
      </c>
      <c r="D298" s="355">
        <v>3205</v>
      </c>
      <c r="E298" s="355">
        <v>25608</v>
      </c>
      <c r="F298" s="355">
        <v>1949</v>
      </c>
      <c r="G298" s="355">
        <v>5923</v>
      </c>
      <c r="H298" s="355">
        <v>6844</v>
      </c>
      <c r="I298" s="355">
        <v>59</v>
      </c>
      <c r="J298" s="355">
        <v>10827</v>
      </c>
      <c r="K298" s="356">
        <v>60602</v>
      </c>
    </row>
    <row r="299" spans="1:11" x14ac:dyDescent="0.3">
      <c r="A299" s="104" t="s">
        <v>96</v>
      </c>
      <c r="B299" s="355">
        <v>242</v>
      </c>
      <c r="C299" s="355">
        <v>30</v>
      </c>
      <c r="D299" s="355">
        <v>107</v>
      </c>
      <c r="E299" s="355">
        <v>1397</v>
      </c>
      <c r="F299" s="355">
        <v>337</v>
      </c>
      <c r="G299" s="355">
        <v>91</v>
      </c>
      <c r="H299" s="355">
        <v>252</v>
      </c>
      <c r="I299" s="355"/>
      <c r="J299" s="355">
        <v>939</v>
      </c>
      <c r="K299" s="356">
        <v>3395</v>
      </c>
    </row>
    <row r="300" spans="1:11" x14ac:dyDescent="0.3">
      <c r="A300" s="104" t="s">
        <v>5</v>
      </c>
      <c r="B300" s="355">
        <v>7303</v>
      </c>
      <c r="C300" s="355">
        <v>1539</v>
      </c>
      <c r="D300" s="355">
        <v>4617</v>
      </c>
      <c r="E300" s="355">
        <v>44992</v>
      </c>
      <c r="F300" s="355">
        <v>5656</v>
      </c>
      <c r="G300" s="355">
        <v>7151</v>
      </c>
      <c r="H300" s="355">
        <v>8231</v>
      </c>
      <c r="I300" s="355">
        <v>154</v>
      </c>
      <c r="J300" s="355">
        <v>66745</v>
      </c>
      <c r="K300" s="356">
        <v>146388</v>
      </c>
    </row>
    <row r="301" spans="1:11" x14ac:dyDescent="0.3">
      <c r="A301" s="104" t="s">
        <v>23</v>
      </c>
      <c r="B301" s="355">
        <v>378</v>
      </c>
      <c r="C301" s="355">
        <v>70</v>
      </c>
      <c r="D301" s="355">
        <v>312</v>
      </c>
      <c r="E301" s="355">
        <v>2031</v>
      </c>
      <c r="F301" s="355">
        <v>317</v>
      </c>
      <c r="G301" s="355">
        <v>988</v>
      </c>
      <c r="H301" s="355">
        <v>520</v>
      </c>
      <c r="I301" s="355">
        <v>5</v>
      </c>
      <c r="J301" s="355">
        <v>711</v>
      </c>
      <c r="K301" s="356">
        <v>5332</v>
      </c>
    </row>
    <row r="302" spans="1:11" x14ac:dyDescent="0.3">
      <c r="A302" s="104" t="s">
        <v>24</v>
      </c>
      <c r="B302" s="355">
        <v>320</v>
      </c>
      <c r="C302" s="355">
        <v>4</v>
      </c>
      <c r="D302" s="355">
        <v>324</v>
      </c>
      <c r="E302" s="355">
        <v>1746</v>
      </c>
      <c r="F302" s="355">
        <v>609</v>
      </c>
      <c r="G302" s="355">
        <v>430</v>
      </c>
      <c r="H302" s="355">
        <v>168</v>
      </c>
      <c r="I302" s="355"/>
      <c r="J302" s="355">
        <v>113</v>
      </c>
      <c r="K302" s="356">
        <v>3714</v>
      </c>
    </row>
    <row r="303" spans="1:11" x14ac:dyDescent="0.3">
      <c r="A303" s="104" t="s">
        <v>6</v>
      </c>
      <c r="B303" s="355">
        <v>3839</v>
      </c>
      <c r="C303" s="355">
        <v>1463</v>
      </c>
      <c r="D303" s="355">
        <v>2659</v>
      </c>
      <c r="E303" s="355">
        <v>20940</v>
      </c>
      <c r="F303" s="355">
        <v>5202</v>
      </c>
      <c r="G303" s="355">
        <v>3031</v>
      </c>
      <c r="H303" s="355">
        <v>4816</v>
      </c>
      <c r="I303" s="355">
        <v>12</v>
      </c>
      <c r="J303" s="355">
        <v>10949</v>
      </c>
      <c r="K303" s="356">
        <v>52911</v>
      </c>
    </row>
    <row r="304" spans="1:11" x14ac:dyDescent="0.3">
      <c r="A304" s="104" t="s">
        <v>22</v>
      </c>
      <c r="B304" s="355">
        <v>1060</v>
      </c>
      <c r="C304" s="355">
        <v>25</v>
      </c>
      <c r="D304" s="355">
        <v>473</v>
      </c>
      <c r="E304" s="355">
        <v>4268</v>
      </c>
      <c r="F304" s="355">
        <v>1171</v>
      </c>
      <c r="G304" s="355">
        <v>1346</v>
      </c>
      <c r="H304" s="355">
        <v>729</v>
      </c>
      <c r="I304" s="355">
        <v>8</v>
      </c>
      <c r="J304" s="355">
        <v>145</v>
      </c>
      <c r="K304" s="356">
        <v>9225</v>
      </c>
    </row>
    <row r="305" spans="1:11" x14ac:dyDescent="0.3">
      <c r="A305" s="104" t="s">
        <v>7</v>
      </c>
      <c r="B305" s="355">
        <v>2710</v>
      </c>
      <c r="C305" s="355">
        <v>257</v>
      </c>
      <c r="D305" s="355">
        <v>1371</v>
      </c>
      <c r="E305" s="355">
        <v>8128</v>
      </c>
      <c r="F305" s="355">
        <v>145</v>
      </c>
      <c r="G305" s="355">
        <v>1497</v>
      </c>
      <c r="H305" s="355">
        <v>2229</v>
      </c>
      <c r="I305" s="355">
        <v>5</v>
      </c>
      <c r="J305" s="355">
        <v>1559</v>
      </c>
      <c r="K305" s="356">
        <v>17901</v>
      </c>
    </row>
    <row r="306" spans="1:11" x14ac:dyDescent="0.3">
      <c r="A306" s="104" t="s">
        <v>8</v>
      </c>
      <c r="B306" s="355">
        <v>3013</v>
      </c>
      <c r="C306" s="355">
        <v>780</v>
      </c>
      <c r="D306" s="355">
        <v>1861</v>
      </c>
      <c r="E306" s="355">
        <v>16024</v>
      </c>
      <c r="F306" s="355">
        <v>1039</v>
      </c>
      <c r="G306" s="355">
        <v>5272</v>
      </c>
      <c r="H306" s="355">
        <v>4420</v>
      </c>
      <c r="I306" s="355">
        <v>27</v>
      </c>
      <c r="J306" s="355">
        <v>6244</v>
      </c>
      <c r="K306" s="356">
        <v>38680</v>
      </c>
    </row>
    <row r="307" spans="1:11" x14ac:dyDescent="0.3">
      <c r="A307" s="104" t="s">
        <v>9</v>
      </c>
      <c r="B307" s="355">
        <v>4587</v>
      </c>
      <c r="C307" s="355">
        <v>179</v>
      </c>
      <c r="D307" s="355">
        <v>1441</v>
      </c>
      <c r="E307" s="355">
        <v>13174</v>
      </c>
      <c r="F307" s="355">
        <v>147</v>
      </c>
      <c r="G307" s="355">
        <v>1145</v>
      </c>
      <c r="H307" s="355">
        <v>3767</v>
      </c>
      <c r="I307" s="355">
        <v>14</v>
      </c>
      <c r="J307" s="355">
        <v>2593</v>
      </c>
      <c r="K307" s="356">
        <v>27047</v>
      </c>
    </row>
    <row r="308" spans="1:11" x14ac:dyDescent="0.3">
      <c r="A308" s="104" t="s">
        <v>10</v>
      </c>
      <c r="B308" s="355">
        <v>547</v>
      </c>
      <c r="C308" s="355">
        <v>74</v>
      </c>
      <c r="D308" s="355">
        <v>116</v>
      </c>
      <c r="E308" s="355">
        <v>4908</v>
      </c>
      <c r="F308" s="355">
        <v>75</v>
      </c>
      <c r="G308" s="355">
        <v>671</v>
      </c>
      <c r="H308" s="355">
        <v>454</v>
      </c>
      <c r="I308" s="355">
        <v>1</v>
      </c>
      <c r="J308" s="355">
        <v>4562</v>
      </c>
      <c r="K308" s="356">
        <v>11408</v>
      </c>
    </row>
    <row r="309" spans="1:11" x14ac:dyDescent="0.3">
      <c r="A309" s="104" t="s">
        <v>11</v>
      </c>
      <c r="B309" s="355">
        <v>1387</v>
      </c>
      <c r="C309" s="355">
        <v>229</v>
      </c>
      <c r="D309" s="355">
        <v>721</v>
      </c>
      <c r="E309" s="355">
        <v>6624</v>
      </c>
      <c r="F309" s="355">
        <v>20366</v>
      </c>
      <c r="G309" s="355">
        <v>1359</v>
      </c>
      <c r="H309" s="355">
        <v>1267</v>
      </c>
      <c r="I309" s="355"/>
      <c r="J309" s="355">
        <v>3197</v>
      </c>
      <c r="K309" s="356">
        <v>35150</v>
      </c>
    </row>
    <row r="310" spans="1:11" x14ac:dyDescent="0.3">
      <c r="A310" s="104" t="s">
        <v>12</v>
      </c>
      <c r="B310" s="355">
        <v>6052</v>
      </c>
      <c r="C310" s="355">
        <v>825</v>
      </c>
      <c r="D310" s="355">
        <v>2555</v>
      </c>
      <c r="E310" s="355">
        <v>16204</v>
      </c>
      <c r="F310" s="355">
        <v>1848</v>
      </c>
      <c r="G310" s="355">
        <v>5365</v>
      </c>
      <c r="H310" s="355">
        <v>5229</v>
      </c>
      <c r="I310" s="355">
        <v>41</v>
      </c>
      <c r="J310" s="355">
        <v>3627</v>
      </c>
      <c r="K310" s="356">
        <v>41746</v>
      </c>
    </row>
    <row r="311" spans="1:11" x14ac:dyDescent="0.3">
      <c r="A311" s="104" t="s">
        <v>13</v>
      </c>
      <c r="B311" s="355">
        <v>1414</v>
      </c>
      <c r="C311" s="355">
        <v>125</v>
      </c>
      <c r="D311" s="355">
        <v>554</v>
      </c>
      <c r="E311" s="355">
        <v>3812</v>
      </c>
      <c r="F311" s="355">
        <v>87</v>
      </c>
      <c r="G311" s="355">
        <v>724</v>
      </c>
      <c r="H311" s="355">
        <v>491</v>
      </c>
      <c r="I311" s="355">
        <v>4</v>
      </c>
      <c r="J311" s="355">
        <v>133</v>
      </c>
      <c r="K311" s="356">
        <v>7344</v>
      </c>
    </row>
    <row r="312" spans="1:11" x14ac:dyDescent="0.3">
      <c r="A312" s="104" t="s">
        <v>14</v>
      </c>
      <c r="B312" s="355">
        <v>118</v>
      </c>
      <c r="C312" s="355">
        <v>36</v>
      </c>
      <c r="D312" s="355">
        <v>77</v>
      </c>
      <c r="E312" s="355">
        <v>1778</v>
      </c>
      <c r="F312" s="355">
        <v>28</v>
      </c>
      <c r="G312" s="355">
        <v>132</v>
      </c>
      <c r="H312" s="355">
        <v>429</v>
      </c>
      <c r="I312" s="355">
        <v>4</v>
      </c>
      <c r="J312" s="355">
        <v>51</v>
      </c>
      <c r="K312" s="356">
        <v>2653</v>
      </c>
    </row>
    <row r="313" spans="1:11" x14ac:dyDescent="0.3">
      <c r="A313" s="104" t="s">
        <v>15</v>
      </c>
      <c r="B313" s="355">
        <v>2944</v>
      </c>
      <c r="C313" s="355">
        <v>319</v>
      </c>
      <c r="D313" s="355">
        <v>479</v>
      </c>
      <c r="E313" s="355">
        <v>12741</v>
      </c>
      <c r="F313" s="355">
        <v>3936</v>
      </c>
      <c r="G313" s="355">
        <v>1056</v>
      </c>
      <c r="H313" s="355">
        <v>3138</v>
      </c>
      <c r="I313" s="355">
        <v>6</v>
      </c>
      <c r="J313" s="355">
        <v>40278</v>
      </c>
      <c r="K313" s="356">
        <v>64897</v>
      </c>
    </row>
    <row r="314" spans="1:11" x14ac:dyDescent="0.3">
      <c r="A314" s="104" t="s">
        <v>16</v>
      </c>
      <c r="B314" s="355">
        <v>2016</v>
      </c>
      <c r="C314" s="355">
        <v>354</v>
      </c>
      <c r="D314" s="355">
        <v>948</v>
      </c>
      <c r="E314" s="355">
        <v>8868</v>
      </c>
      <c r="F314" s="355">
        <v>239</v>
      </c>
      <c r="G314" s="355">
        <v>1049</v>
      </c>
      <c r="H314" s="355">
        <v>2566</v>
      </c>
      <c r="I314" s="355">
        <v>21</v>
      </c>
      <c r="J314" s="355">
        <v>2088</v>
      </c>
      <c r="K314" s="356">
        <v>18149</v>
      </c>
    </row>
    <row r="315" spans="1:11" x14ac:dyDescent="0.3">
      <c r="A315" s="104" t="s">
        <v>17</v>
      </c>
      <c r="B315" s="355">
        <v>579</v>
      </c>
      <c r="C315" s="355">
        <v>101</v>
      </c>
      <c r="D315" s="355">
        <v>59</v>
      </c>
      <c r="E315" s="355">
        <v>1911</v>
      </c>
      <c r="F315" s="355">
        <v>142</v>
      </c>
      <c r="G315" s="355">
        <v>247</v>
      </c>
      <c r="H315" s="355">
        <v>153</v>
      </c>
      <c r="I315" s="355">
        <v>1</v>
      </c>
      <c r="J315" s="355">
        <v>28</v>
      </c>
      <c r="K315" s="356">
        <v>3221</v>
      </c>
    </row>
    <row r="316" spans="1:11" x14ac:dyDescent="0.3">
      <c r="A316" s="104" t="s">
        <v>18</v>
      </c>
      <c r="B316" s="355">
        <v>849</v>
      </c>
      <c r="C316" s="355">
        <v>178</v>
      </c>
      <c r="D316" s="355">
        <v>252</v>
      </c>
      <c r="E316" s="355">
        <v>8681</v>
      </c>
      <c r="F316" s="355">
        <v>837</v>
      </c>
      <c r="G316" s="355">
        <v>391</v>
      </c>
      <c r="H316" s="355">
        <v>724</v>
      </c>
      <c r="I316" s="355">
        <v>2</v>
      </c>
      <c r="J316" s="355">
        <v>10800</v>
      </c>
      <c r="K316" s="356">
        <v>22714</v>
      </c>
    </row>
    <row r="317" spans="1:11" x14ac:dyDescent="0.3">
      <c r="A317" s="104" t="s">
        <v>19</v>
      </c>
      <c r="B317" s="355">
        <v>3977</v>
      </c>
      <c r="C317" s="355">
        <v>371</v>
      </c>
      <c r="D317" s="355">
        <v>1595</v>
      </c>
      <c r="E317" s="355">
        <v>22242</v>
      </c>
      <c r="F317" s="355">
        <v>1772</v>
      </c>
      <c r="G317" s="355">
        <v>1502</v>
      </c>
      <c r="H317" s="355">
        <v>3615</v>
      </c>
      <c r="I317" s="355">
        <v>18</v>
      </c>
      <c r="J317" s="355">
        <v>15180</v>
      </c>
      <c r="K317" s="356">
        <v>50272</v>
      </c>
    </row>
    <row r="318" spans="1:11" x14ac:dyDescent="0.3">
      <c r="A318" s="104" t="s">
        <v>20</v>
      </c>
      <c r="B318" s="355">
        <v>1299</v>
      </c>
      <c r="C318" s="355">
        <v>225</v>
      </c>
      <c r="D318" s="355">
        <v>554</v>
      </c>
      <c r="E318" s="355">
        <v>4396</v>
      </c>
      <c r="F318" s="355">
        <v>2551</v>
      </c>
      <c r="G318" s="355">
        <v>719</v>
      </c>
      <c r="H318" s="355">
        <v>1568</v>
      </c>
      <c r="I318" s="355"/>
      <c r="J318" s="355">
        <v>2052</v>
      </c>
      <c r="K318" s="356">
        <v>13364</v>
      </c>
    </row>
    <row r="319" spans="1:11" ht="14.5" thickBot="1" x14ac:dyDescent="0.35">
      <c r="A319" s="105" t="s">
        <v>1</v>
      </c>
      <c r="B319" s="106">
        <v>49512</v>
      </c>
      <c r="C319" s="106">
        <v>8493</v>
      </c>
      <c r="D319" s="106">
        <v>24280</v>
      </c>
      <c r="E319" s="106">
        <v>230473</v>
      </c>
      <c r="F319" s="106">
        <v>48453</v>
      </c>
      <c r="G319" s="106">
        <v>40089</v>
      </c>
      <c r="H319" s="106">
        <v>51610</v>
      </c>
      <c r="I319" s="106">
        <v>382</v>
      </c>
      <c r="J319" s="106">
        <v>182821</v>
      </c>
      <c r="K319" s="400">
        <v>636113</v>
      </c>
    </row>
    <row r="321" spans="1:16" s="392" customFormat="1" ht="30" customHeight="1" x14ac:dyDescent="0.3">
      <c r="A321" s="478" t="s">
        <v>265</v>
      </c>
      <c r="B321" s="478"/>
      <c r="C321" s="478"/>
      <c r="D321" s="478"/>
      <c r="E321" s="478"/>
      <c r="F321" s="478"/>
      <c r="G321" s="478"/>
      <c r="H321" s="478"/>
      <c r="I321" s="478"/>
      <c r="J321" s="478"/>
      <c r="K321" s="478"/>
      <c r="L321" s="478"/>
    </row>
    <row r="322" spans="1:16" s="243" customFormat="1" x14ac:dyDescent="0.3"/>
    <row r="323" spans="1:16" s="243" customFormat="1" x14ac:dyDescent="0.3"/>
    <row r="324" spans="1:16" s="243" customFormat="1" x14ac:dyDescent="0.3"/>
    <row r="325" spans="1:16" ht="42" customHeight="1" x14ac:dyDescent="0.3">
      <c r="A325" s="664" t="s">
        <v>2</v>
      </c>
      <c r="B325" s="651" t="s">
        <v>43</v>
      </c>
      <c r="C325" s="652"/>
      <c r="D325" s="677"/>
      <c r="E325" s="651" t="s">
        <v>201</v>
      </c>
      <c r="F325" s="652"/>
      <c r="G325" s="677"/>
      <c r="H325" s="651" t="s">
        <v>39</v>
      </c>
      <c r="I325" s="652"/>
      <c r="J325" s="677"/>
      <c r="K325" s="651" t="s">
        <v>44</v>
      </c>
      <c r="L325" s="652"/>
      <c r="M325" s="677"/>
      <c r="N325" s="651" t="s">
        <v>199</v>
      </c>
      <c r="O325" s="652"/>
      <c r="P325" s="653"/>
    </row>
    <row r="326" spans="1:16" ht="27" customHeight="1" x14ac:dyDescent="0.3">
      <c r="A326" s="655"/>
      <c r="B326" s="438" t="s">
        <v>25</v>
      </c>
      <c r="C326" s="438" t="s">
        <v>26</v>
      </c>
      <c r="D326" s="438" t="s">
        <v>21</v>
      </c>
      <c r="E326" s="438" t="s">
        <v>25</v>
      </c>
      <c r="F326" s="438" t="s">
        <v>26</v>
      </c>
      <c r="G326" s="438" t="s">
        <v>21</v>
      </c>
      <c r="H326" s="438" t="s">
        <v>25</v>
      </c>
      <c r="I326" s="438" t="s">
        <v>26</v>
      </c>
      <c r="J326" s="438" t="s">
        <v>21</v>
      </c>
      <c r="K326" s="438" t="s">
        <v>25</v>
      </c>
      <c r="L326" s="438" t="s">
        <v>26</v>
      </c>
      <c r="M326" s="438" t="s">
        <v>21</v>
      </c>
      <c r="N326" s="438" t="s">
        <v>25</v>
      </c>
      <c r="O326" s="438" t="s">
        <v>26</v>
      </c>
      <c r="P326" s="438" t="s">
        <v>21</v>
      </c>
    </row>
    <row r="327" spans="1:16" x14ac:dyDescent="0.3">
      <c r="A327" s="439" t="s">
        <v>3</v>
      </c>
      <c r="B327" s="439">
        <v>2788</v>
      </c>
      <c r="C327" s="439">
        <v>2090</v>
      </c>
      <c r="D327" s="439">
        <v>4878</v>
      </c>
      <c r="E327" s="439">
        <v>548</v>
      </c>
      <c r="F327" s="439">
        <v>761</v>
      </c>
      <c r="G327" s="439">
        <v>1309</v>
      </c>
      <c r="H327" s="439">
        <v>1302</v>
      </c>
      <c r="I327" s="439">
        <v>1903</v>
      </c>
      <c r="J327" s="439">
        <v>3205</v>
      </c>
      <c r="K327" s="439">
        <v>11582</v>
      </c>
      <c r="L327" s="439">
        <v>14026</v>
      </c>
      <c r="M327" s="439">
        <v>25608</v>
      </c>
      <c r="N327" s="439">
        <v>757</v>
      </c>
      <c r="O327" s="439">
        <v>1192</v>
      </c>
      <c r="P327" s="439">
        <v>1949</v>
      </c>
    </row>
    <row r="328" spans="1:16" x14ac:dyDescent="0.3">
      <c r="A328" s="439" t="s">
        <v>96</v>
      </c>
      <c r="B328" s="439">
        <v>125</v>
      </c>
      <c r="C328" s="439">
        <v>117</v>
      </c>
      <c r="D328" s="439">
        <v>242</v>
      </c>
      <c r="E328" s="439">
        <v>7</v>
      </c>
      <c r="F328" s="439">
        <v>23</v>
      </c>
      <c r="G328" s="439">
        <v>30</v>
      </c>
      <c r="H328" s="439">
        <v>43</v>
      </c>
      <c r="I328" s="439">
        <v>64</v>
      </c>
      <c r="J328" s="439">
        <v>107</v>
      </c>
      <c r="K328" s="439">
        <v>691</v>
      </c>
      <c r="L328" s="439">
        <v>706</v>
      </c>
      <c r="M328" s="439">
        <v>1397</v>
      </c>
      <c r="N328" s="439">
        <v>41</v>
      </c>
      <c r="O328" s="439">
        <v>296</v>
      </c>
      <c r="P328" s="439">
        <v>337</v>
      </c>
    </row>
    <row r="329" spans="1:16" x14ac:dyDescent="0.3">
      <c r="A329" s="439" t="s">
        <v>5</v>
      </c>
      <c r="B329" s="439">
        <v>4169</v>
      </c>
      <c r="C329" s="439">
        <v>3134</v>
      </c>
      <c r="D329" s="439">
        <v>7303</v>
      </c>
      <c r="E329" s="439">
        <v>675</v>
      </c>
      <c r="F329" s="439">
        <v>864</v>
      </c>
      <c r="G329" s="439">
        <v>1539</v>
      </c>
      <c r="H329" s="439">
        <v>1846</v>
      </c>
      <c r="I329" s="439">
        <v>2771</v>
      </c>
      <c r="J329" s="439">
        <v>4617</v>
      </c>
      <c r="K329" s="439">
        <v>20323</v>
      </c>
      <c r="L329" s="439">
        <v>24669</v>
      </c>
      <c r="M329" s="439">
        <v>44992</v>
      </c>
      <c r="N329" s="439">
        <v>2164</v>
      </c>
      <c r="O329" s="439">
        <v>3492</v>
      </c>
      <c r="P329" s="439">
        <v>5656</v>
      </c>
    </row>
    <row r="330" spans="1:16" x14ac:dyDescent="0.3">
      <c r="A330" s="439" t="s">
        <v>23</v>
      </c>
      <c r="B330" s="439">
        <v>210</v>
      </c>
      <c r="C330" s="439">
        <v>168</v>
      </c>
      <c r="D330" s="439">
        <v>378</v>
      </c>
      <c r="E330" s="439">
        <v>31</v>
      </c>
      <c r="F330" s="439">
        <v>39</v>
      </c>
      <c r="G330" s="439">
        <v>70</v>
      </c>
      <c r="H330" s="439">
        <v>122</v>
      </c>
      <c r="I330" s="439">
        <v>190</v>
      </c>
      <c r="J330" s="439">
        <v>312</v>
      </c>
      <c r="K330" s="439">
        <v>874</v>
      </c>
      <c r="L330" s="439">
        <v>1157</v>
      </c>
      <c r="M330" s="439">
        <v>2031</v>
      </c>
      <c r="N330" s="439">
        <v>164</v>
      </c>
      <c r="O330" s="439">
        <v>153</v>
      </c>
      <c r="P330" s="439">
        <v>317</v>
      </c>
    </row>
    <row r="331" spans="1:16" x14ac:dyDescent="0.3">
      <c r="A331" s="439" t="s">
        <v>24</v>
      </c>
      <c r="B331" s="439">
        <v>179</v>
      </c>
      <c r="C331" s="439">
        <v>141</v>
      </c>
      <c r="D331" s="439">
        <v>320</v>
      </c>
      <c r="E331" s="439">
        <v>3</v>
      </c>
      <c r="F331" s="439">
        <v>1</v>
      </c>
      <c r="G331" s="439">
        <v>4</v>
      </c>
      <c r="H331" s="439">
        <v>127</v>
      </c>
      <c r="I331" s="439">
        <v>197</v>
      </c>
      <c r="J331" s="439">
        <v>324</v>
      </c>
      <c r="K331" s="439">
        <v>655</v>
      </c>
      <c r="L331" s="439">
        <v>1091</v>
      </c>
      <c r="M331" s="439">
        <v>1746</v>
      </c>
      <c r="N331" s="439">
        <v>280</v>
      </c>
      <c r="O331" s="439">
        <v>329</v>
      </c>
      <c r="P331" s="439">
        <v>609</v>
      </c>
    </row>
    <row r="332" spans="1:16" x14ac:dyDescent="0.3">
      <c r="A332" s="439" t="s">
        <v>6</v>
      </c>
      <c r="B332" s="439">
        <v>2003</v>
      </c>
      <c r="C332" s="439">
        <v>1836</v>
      </c>
      <c r="D332" s="439">
        <v>3839</v>
      </c>
      <c r="E332" s="439">
        <v>646</v>
      </c>
      <c r="F332" s="439">
        <v>817</v>
      </c>
      <c r="G332" s="439">
        <v>1463</v>
      </c>
      <c r="H332" s="439">
        <v>1088</v>
      </c>
      <c r="I332" s="439">
        <v>1571</v>
      </c>
      <c r="J332" s="439">
        <v>2659</v>
      </c>
      <c r="K332" s="439">
        <v>9255</v>
      </c>
      <c r="L332" s="439">
        <v>11685</v>
      </c>
      <c r="M332" s="439">
        <v>20940</v>
      </c>
      <c r="N332" s="439">
        <v>2676</v>
      </c>
      <c r="O332" s="439">
        <v>2526</v>
      </c>
      <c r="P332" s="439">
        <v>5202</v>
      </c>
    </row>
    <row r="333" spans="1:16" x14ac:dyDescent="0.3">
      <c r="A333" s="439" t="s">
        <v>22</v>
      </c>
      <c r="B333" s="439">
        <v>540</v>
      </c>
      <c r="C333" s="439">
        <v>520</v>
      </c>
      <c r="D333" s="439">
        <v>1060</v>
      </c>
      <c r="E333" s="439">
        <v>12</v>
      </c>
      <c r="F333" s="439">
        <v>13</v>
      </c>
      <c r="G333" s="439">
        <v>25</v>
      </c>
      <c r="H333" s="439">
        <v>179</v>
      </c>
      <c r="I333" s="439">
        <v>294</v>
      </c>
      <c r="J333" s="439">
        <v>473</v>
      </c>
      <c r="K333" s="439">
        <v>1628</v>
      </c>
      <c r="L333" s="439">
        <v>2640</v>
      </c>
      <c r="M333" s="439">
        <v>4268</v>
      </c>
      <c r="N333" s="439">
        <v>620</v>
      </c>
      <c r="O333" s="439">
        <v>551</v>
      </c>
      <c r="P333" s="439">
        <v>1171</v>
      </c>
    </row>
    <row r="334" spans="1:16" x14ac:dyDescent="0.3">
      <c r="A334" s="439" t="s">
        <v>7</v>
      </c>
      <c r="B334" s="439">
        <v>1475</v>
      </c>
      <c r="C334" s="439">
        <v>1235</v>
      </c>
      <c r="D334" s="439">
        <v>2710</v>
      </c>
      <c r="E334" s="439">
        <v>136</v>
      </c>
      <c r="F334" s="439">
        <v>121</v>
      </c>
      <c r="G334" s="439">
        <v>257</v>
      </c>
      <c r="H334" s="439">
        <v>599</v>
      </c>
      <c r="I334" s="439">
        <v>772</v>
      </c>
      <c r="J334" s="439">
        <v>1371</v>
      </c>
      <c r="K334" s="439">
        <v>3443</v>
      </c>
      <c r="L334" s="439">
        <v>4685</v>
      </c>
      <c r="M334" s="439">
        <v>8128</v>
      </c>
      <c r="N334" s="439">
        <v>48</v>
      </c>
      <c r="O334" s="439">
        <v>97</v>
      </c>
      <c r="P334" s="439">
        <v>145</v>
      </c>
    </row>
    <row r="335" spans="1:16" x14ac:dyDescent="0.3">
      <c r="A335" s="439" t="s">
        <v>8</v>
      </c>
      <c r="B335" s="439">
        <v>1711</v>
      </c>
      <c r="C335" s="439">
        <v>1302</v>
      </c>
      <c r="D335" s="439">
        <v>3013</v>
      </c>
      <c r="E335" s="439">
        <v>356</v>
      </c>
      <c r="F335" s="439">
        <v>424</v>
      </c>
      <c r="G335" s="439">
        <v>780</v>
      </c>
      <c r="H335" s="439">
        <v>754</v>
      </c>
      <c r="I335" s="439">
        <v>1107</v>
      </c>
      <c r="J335" s="439">
        <v>1861</v>
      </c>
      <c r="K335" s="439">
        <v>6805</v>
      </c>
      <c r="L335" s="439">
        <v>9219</v>
      </c>
      <c r="M335" s="439">
        <v>16024</v>
      </c>
      <c r="N335" s="439">
        <v>453</v>
      </c>
      <c r="O335" s="439">
        <v>586</v>
      </c>
      <c r="P335" s="439">
        <v>1039</v>
      </c>
    </row>
    <row r="336" spans="1:16" x14ac:dyDescent="0.3">
      <c r="A336" s="439" t="s">
        <v>9</v>
      </c>
      <c r="B336" s="439">
        <v>2306</v>
      </c>
      <c r="C336" s="439">
        <v>2150</v>
      </c>
      <c r="D336" s="439">
        <v>4587</v>
      </c>
      <c r="E336" s="439">
        <v>73</v>
      </c>
      <c r="F336" s="439">
        <v>104</v>
      </c>
      <c r="G336" s="439">
        <v>179</v>
      </c>
      <c r="H336" s="439">
        <v>539</v>
      </c>
      <c r="I336" s="439">
        <v>879</v>
      </c>
      <c r="J336" s="439">
        <v>1441</v>
      </c>
      <c r="K336" s="439">
        <v>5074</v>
      </c>
      <c r="L336" s="439">
        <v>7742</v>
      </c>
      <c r="M336" s="439">
        <v>13174</v>
      </c>
      <c r="N336" s="439">
        <v>48</v>
      </c>
      <c r="O336" s="439">
        <v>97</v>
      </c>
      <c r="P336" s="439">
        <v>147</v>
      </c>
    </row>
    <row r="337" spans="1:16" x14ac:dyDescent="0.3">
      <c r="A337" s="439" t="s">
        <v>10</v>
      </c>
      <c r="B337" s="439">
        <v>286</v>
      </c>
      <c r="C337" s="439">
        <v>261</v>
      </c>
      <c r="D337" s="439">
        <v>547</v>
      </c>
      <c r="E337" s="439">
        <v>41</v>
      </c>
      <c r="F337" s="439">
        <v>33</v>
      </c>
      <c r="G337" s="439">
        <v>74</v>
      </c>
      <c r="H337" s="439">
        <v>41</v>
      </c>
      <c r="I337" s="439">
        <v>75</v>
      </c>
      <c r="J337" s="439">
        <v>116</v>
      </c>
      <c r="K337" s="439">
        <v>2167</v>
      </c>
      <c r="L337" s="439">
        <v>2741</v>
      </c>
      <c r="M337" s="439">
        <v>4908</v>
      </c>
      <c r="N337" s="439">
        <v>35</v>
      </c>
      <c r="O337" s="439">
        <v>40</v>
      </c>
      <c r="P337" s="439">
        <v>75</v>
      </c>
    </row>
    <row r="338" spans="1:16" x14ac:dyDescent="0.3">
      <c r="A338" s="439" t="s">
        <v>11</v>
      </c>
      <c r="B338" s="439">
        <v>778</v>
      </c>
      <c r="C338" s="439">
        <v>609</v>
      </c>
      <c r="D338" s="439">
        <v>1387</v>
      </c>
      <c r="E338" s="439">
        <v>112</v>
      </c>
      <c r="F338" s="439">
        <v>117</v>
      </c>
      <c r="G338" s="439">
        <v>229</v>
      </c>
      <c r="H338" s="439">
        <v>331</v>
      </c>
      <c r="I338" s="439">
        <v>390</v>
      </c>
      <c r="J338" s="439">
        <v>721</v>
      </c>
      <c r="K338" s="439">
        <v>2996</v>
      </c>
      <c r="L338" s="439">
        <v>3627</v>
      </c>
      <c r="M338" s="439">
        <v>6624</v>
      </c>
      <c r="N338" s="439">
        <v>10722</v>
      </c>
      <c r="O338" s="439">
        <v>9644</v>
      </c>
      <c r="P338" s="439">
        <v>20366</v>
      </c>
    </row>
    <row r="339" spans="1:16" x14ac:dyDescent="0.3">
      <c r="A339" s="439" t="s">
        <v>12</v>
      </c>
      <c r="B339" s="439">
        <v>3399</v>
      </c>
      <c r="C339" s="439">
        <v>2653</v>
      </c>
      <c r="D339" s="439">
        <v>6052</v>
      </c>
      <c r="E339" s="439">
        <v>358</v>
      </c>
      <c r="F339" s="439">
        <v>467</v>
      </c>
      <c r="G339" s="439">
        <v>825</v>
      </c>
      <c r="H339" s="439">
        <v>945</v>
      </c>
      <c r="I339" s="439">
        <v>1610</v>
      </c>
      <c r="J339" s="439">
        <v>2555</v>
      </c>
      <c r="K339" s="439">
        <v>6908</v>
      </c>
      <c r="L339" s="439">
        <v>9296</v>
      </c>
      <c r="M339" s="439">
        <v>16204</v>
      </c>
      <c r="N339" s="439">
        <v>856</v>
      </c>
      <c r="O339" s="439">
        <v>992</v>
      </c>
      <c r="P339" s="439">
        <v>1848</v>
      </c>
    </row>
    <row r="340" spans="1:16" x14ac:dyDescent="0.3">
      <c r="A340" s="439" t="s">
        <v>13</v>
      </c>
      <c r="B340" s="439">
        <v>810</v>
      </c>
      <c r="C340" s="439">
        <v>604</v>
      </c>
      <c r="D340" s="439">
        <v>1414</v>
      </c>
      <c r="E340" s="439">
        <v>47</v>
      </c>
      <c r="F340" s="439">
        <v>78</v>
      </c>
      <c r="G340" s="439">
        <v>125</v>
      </c>
      <c r="H340" s="439">
        <v>217</v>
      </c>
      <c r="I340" s="439">
        <v>337</v>
      </c>
      <c r="J340" s="439">
        <v>554</v>
      </c>
      <c r="K340" s="439">
        <v>1525</v>
      </c>
      <c r="L340" s="439">
        <v>2287</v>
      </c>
      <c r="M340" s="439">
        <v>3812</v>
      </c>
      <c r="N340" s="439">
        <v>34</v>
      </c>
      <c r="O340" s="439">
        <v>53</v>
      </c>
      <c r="P340" s="439">
        <v>87</v>
      </c>
    </row>
    <row r="341" spans="1:16" x14ac:dyDescent="0.3">
      <c r="A341" s="439" t="s">
        <v>14</v>
      </c>
      <c r="B341" s="439">
        <v>75</v>
      </c>
      <c r="C341" s="439">
        <v>43</v>
      </c>
      <c r="D341" s="439">
        <v>118</v>
      </c>
      <c r="E341" s="439">
        <v>13</v>
      </c>
      <c r="F341" s="439">
        <v>23</v>
      </c>
      <c r="G341" s="439">
        <v>36</v>
      </c>
      <c r="H341" s="439">
        <v>31</v>
      </c>
      <c r="I341" s="439">
        <v>46</v>
      </c>
      <c r="J341" s="439">
        <v>77</v>
      </c>
      <c r="K341" s="439">
        <v>870</v>
      </c>
      <c r="L341" s="439">
        <v>908</v>
      </c>
      <c r="M341" s="439">
        <v>1778</v>
      </c>
      <c r="N341" s="439">
        <v>7</v>
      </c>
      <c r="O341" s="439">
        <v>21</v>
      </c>
      <c r="P341" s="439">
        <v>28</v>
      </c>
    </row>
    <row r="342" spans="1:16" x14ac:dyDescent="0.3">
      <c r="A342" s="439" t="s">
        <v>15</v>
      </c>
      <c r="B342" s="439">
        <v>1645</v>
      </c>
      <c r="C342" s="439">
        <v>1275</v>
      </c>
      <c r="D342" s="439">
        <v>2944</v>
      </c>
      <c r="E342" s="439">
        <v>177</v>
      </c>
      <c r="F342" s="439">
        <v>140</v>
      </c>
      <c r="G342" s="439">
        <v>319</v>
      </c>
      <c r="H342" s="439">
        <v>183</v>
      </c>
      <c r="I342" s="439">
        <v>294</v>
      </c>
      <c r="J342" s="439">
        <v>479</v>
      </c>
      <c r="K342" s="439">
        <v>6404</v>
      </c>
      <c r="L342" s="439">
        <v>6311</v>
      </c>
      <c r="M342" s="439">
        <v>12741</v>
      </c>
      <c r="N342" s="439">
        <v>2182</v>
      </c>
      <c r="O342" s="439">
        <v>1751</v>
      </c>
      <c r="P342" s="439">
        <v>3936</v>
      </c>
    </row>
    <row r="343" spans="1:16" x14ac:dyDescent="0.3">
      <c r="A343" s="439" t="s">
        <v>16</v>
      </c>
      <c r="B343" s="439">
        <v>1209</v>
      </c>
      <c r="C343" s="439">
        <v>792</v>
      </c>
      <c r="D343" s="439">
        <v>2016</v>
      </c>
      <c r="E343" s="439">
        <v>185</v>
      </c>
      <c r="F343" s="439">
        <v>169</v>
      </c>
      <c r="G343" s="439">
        <v>354</v>
      </c>
      <c r="H343" s="439">
        <v>366</v>
      </c>
      <c r="I343" s="439">
        <v>576</v>
      </c>
      <c r="J343" s="439">
        <v>948</v>
      </c>
      <c r="K343" s="439">
        <v>3944</v>
      </c>
      <c r="L343" s="439">
        <v>4886</v>
      </c>
      <c r="M343" s="439">
        <v>8868</v>
      </c>
      <c r="N343" s="439">
        <v>98</v>
      </c>
      <c r="O343" s="439">
        <v>139</v>
      </c>
      <c r="P343" s="439">
        <v>239</v>
      </c>
    </row>
    <row r="344" spans="1:16" x14ac:dyDescent="0.3">
      <c r="A344" s="439" t="s">
        <v>17</v>
      </c>
      <c r="B344" s="439">
        <v>326</v>
      </c>
      <c r="C344" s="439">
        <v>253</v>
      </c>
      <c r="D344" s="439">
        <v>579</v>
      </c>
      <c r="E344" s="439">
        <v>51</v>
      </c>
      <c r="F344" s="439">
        <v>50</v>
      </c>
      <c r="G344" s="439">
        <v>101</v>
      </c>
      <c r="H344" s="439">
        <v>19</v>
      </c>
      <c r="I344" s="439">
        <v>40</v>
      </c>
      <c r="J344" s="439">
        <v>59</v>
      </c>
      <c r="K344" s="439">
        <v>762</v>
      </c>
      <c r="L344" s="439">
        <v>1149</v>
      </c>
      <c r="M344" s="439">
        <v>1911</v>
      </c>
      <c r="N344" s="439">
        <v>66</v>
      </c>
      <c r="O344" s="439">
        <v>76</v>
      </c>
      <c r="P344" s="439">
        <v>142</v>
      </c>
    </row>
    <row r="345" spans="1:16" x14ac:dyDescent="0.3">
      <c r="A345" s="439" t="s">
        <v>18</v>
      </c>
      <c r="B345" s="439">
        <v>323</v>
      </c>
      <c r="C345" s="439">
        <v>253</v>
      </c>
      <c r="D345" s="439">
        <v>849</v>
      </c>
      <c r="E345" s="439">
        <v>68</v>
      </c>
      <c r="F345" s="439">
        <v>71</v>
      </c>
      <c r="G345" s="439">
        <v>178</v>
      </c>
      <c r="H345" s="439">
        <v>78</v>
      </c>
      <c r="I345" s="439">
        <v>107</v>
      </c>
      <c r="J345" s="439">
        <v>252</v>
      </c>
      <c r="K345" s="439">
        <v>3698</v>
      </c>
      <c r="L345" s="439">
        <v>4426</v>
      </c>
      <c r="M345" s="439">
        <v>8681</v>
      </c>
      <c r="N345" s="439">
        <v>439</v>
      </c>
      <c r="O345" s="439">
        <v>389</v>
      </c>
      <c r="P345" s="439">
        <v>837</v>
      </c>
    </row>
    <row r="346" spans="1:16" x14ac:dyDescent="0.3">
      <c r="A346" s="439" t="s">
        <v>19</v>
      </c>
      <c r="B346" s="439">
        <v>2288</v>
      </c>
      <c r="C346" s="439">
        <v>1689</v>
      </c>
      <c r="D346" s="439">
        <v>3977</v>
      </c>
      <c r="E346" s="439">
        <v>164</v>
      </c>
      <c r="F346" s="439">
        <v>207</v>
      </c>
      <c r="G346" s="439">
        <v>371</v>
      </c>
      <c r="H346" s="439">
        <v>676</v>
      </c>
      <c r="I346" s="439">
        <v>919</v>
      </c>
      <c r="J346" s="439">
        <v>1595</v>
      </c>
      <c r="K346" s="439">
        <v>11344</v>
      </c>
      <c r="L346" s="439">
        <v>10894</v>
      </c>
      <c r="M346" s="439">
        <v>22242</v>
      </c>
      <c r="N346" s="439">
        <v>964</v>
      </c>
      <c r="O346" s="439">
        <v>808</v>
      </c>
      <c r="P346" s="439">
        <v>1772</v>
      </c>
    </row>
    <row r="347" spans="1:16" x14ac:dyDescent="0.3">
      <c r="A347" s="439" t="s">
        <v>20</v>
      </c>
      <c r="B347" s="439">
        <v>771</v>
      </c>
      <c r="C347" s="439">
        <v>524</v>
      </c>
      <c r="D347" s="439">
        <v>1299</v>
      </c>
      <c r="E347" s="439">
        <v>111</v>
      </c>
      <c r="F347" s="439">
        <v>114</v>
      </c>
      <c r="G347" s="439">
        <v>225</v>
      </c>
      <c r="H347" s="439">
        <v>218</v>
      </c>
      <c r="I347" s="439">
        <v>335</v>
      </c>
      <c r="J347" s="439">
        <v>554</v>
      </c>
      <c r="K347" s="439">
        <v>2065</v>
      </c>
      <c r="L347" s="439">
        <v>2325</v>
      </c>
      <c r="M347" s="439">
        <v>4396</v>
      </c>
      <c r="N347" s="439">
        <v>1333</v>
      </c>
      <c r="O347" s="439">
        <v>1215</v>
      </c>
      <c r="P347" s="439">
        <v>2551</v>
      </c>
    </row>
    <row r="348" spans="1:16" ht="21.75" customHeight="1" thickBot="1" x14ac:dyDescent="0.35">
      <c r="A348" s="439" t="s">
        <v>1</v>
      </c>
      <c r="B348" s="440">
        <v>27416</v>
      </c>
      <c r="C348" s="440">
        <v>21649</v>
      </c>
      <c r="D348" s="440">
        <v>49512</v>
      </c>
      <c r="E348" s="440">
        <v>3814</v>
      </c>
      <c r="F348" s="440">
        <v>4636</v>
      </c>
      <c r="G348" s="440">
        <v>8493</v>
      </c>
      <c r="H348" s="440">
        <v>9704</v>
      </c>
      <c r="I348" s="440">
        <v>14477</v>
      </c>
      <c r="J348" s="440">
        <v>24280</v>
      </c>
      <c r="K348" s="440">
        <v>103013</v>
      </c>
      <c r="L348" s="440">
        <v>126470</v>
      </c>
      <c r="M348" s="440">
        <v>230473</v>
      </c>
      <c r="N348" s="440">
        <v>23987</v>
      </c>
      <c r="O348" s="440">
        <v>24447</v>
      </c>
      <c r="P348" s="440">
        <v>48453</v>
      </c>
    </row>
    <row r="349" spans="1:16" ht="52.5" customHeight="1" x14ac:dyDescent="0.3">
      <c r="A349" s="654" t="s">
        <v>2</v>
      </c>
      <c r="B349" s="656" t="s">
        <v>36</v>
      </c>
      <c r="C349" s="657"/>
      <c r="D349" s="658"/>
      <c r="E349" s="656" t="s">
        <v>38</v>
      </c>
      <c r="F349" s="657"/>
      <c r="G349" s="658"/>
      <c r="H349" s="659" t="s">
        <v>42</v>
      </c>
      <c r="I349" s="660"/>
      <c r="J349" s="661"/>
      <c r="K349" s="659" t="s">
        <v>37</v>
      </c>
      <c r="L349" s="660"/>
      <c r="M349" s="662"/>
      <c r="N349" s="656" t="s">
        <v>139</v>
      </c>
      <c r="O349" s="657"/>
      <c r="P349" s="663"/>
    </row>
    <row r="350" spans="1:16" ht="31.5" customHeight="1" x14ac:dyDescent="0.3">
      <c r="A350" s="655"/>
      <c r="B350" s="438" t="s">
        <v>25</v>
      </c>
      <c r="C350" s="438" t="s">
        <v>26</v>
      </c>
      <c r="D350" s="438" t="s">
        <v>21</v>
      </c>
      <c r="E350" s="438" t="s">
        <v>25</v>
      </c>
      <c r="F350" s="438" t="s">
        <v>26</v>
      </c>
      <c r="G350" s="438" t="s">
        <v>21</v>
      </c>
      <c r="H350" s="438" t="s">
        <v>25</v>
      </c>
      <c r="I350" s="438" t="s">
        <v>26</v>
      </c>
      <c r="J350" s="438" t="s">
        <v>21</v>
      </c>
      <c r="K350" s="438" t="s">
        <v>25</v>
      </c>
      <c r="L350" s="438" t="s">
        <v>26</v>
      </c>
      <c r="M350" s="438" t="s">
        <v>21</v>
      </c>
      <c r="N350" s="438" t="s">
        <v>25</v>
      </c>
      <c r="O350" s="438" t="s">
        <v>26</v>
      </c>
      <c r="P350" s="438" t="s">
        <v>21</v>
      </c>
    </row>
    <row r="351" spans="1:16" x14ac:dyDescent="0.3">
      <c r="A351" s="439" t="s">
        <v>3</v>
      </c>
      <c r="B351" s="439">
        <v>4069</v>
      </c>
      <c r="C351" s="439">
        <v>1854</v>
      </c>
      <c r="D351" s="439">
        <v>5923</v>
      </c>
      <c r="E351" s="439">
        <v>2855</v>
      </c>
      <c r="F351" s="439">
        <v>3989</v>
      </c>
      <c r="G351" s="439">
        <v>6844</v>
      </c>
      <c r="H351" s="439">
        <v>32</v>
      </c>
      <c r="I351" s="439">
        <v>27</v>
      </c>
      <c r="J351" s="439">
        <v>59</v>
      </c>
      <c r="K351" s="439">
        <v>5320</v>
      </c>
      <c r="L351" s="439">
        <v>5507</v>
      </c>
      <c r="M351" s="439">
        <v>10827</v>
      </c>
      <c r="N351" s="439">
        <v>29253</v>
      </c>
      <c r="O351" s="439">
        <v>31349</v>
      </c>
      <c r="P351" s="439">
        <v>60602</v>
      </c>
    </row>
    <row r="352" spans="1:16" x14ac:dyDescent="0.3">
      <c r="A352" s="439" t="s">
        <v>96</v>
      </c>
      <c r="B352" s="439">
        <v>51</v>
      </c>
      <c r="C352" s="439">
        <v>40</v>
      </c>
      <c r="D352" s="439">
        <v>91</v>
      </c>
      <c r="E352" s="439">
        <v>97</v>
      </c>
      <c r="F352" s="439">
        <v>155</v>
      </c>
      <c r="G352" s="439">
        <v>252</v>
      </c>
      <c r="H352" s="439"/>
      <c r="I352" s="439"/>
      <c r="J352" s="439"/>
      <c r="K352" s="439">
        <v>500</v>
      </c>
      <c r="L352" s="439">
        <v>439</v>
      </c>
      <c r="M352" s="439">
        <v>939</v>
      </c>
      <c r="N352" s="439">
        <v>1555</v>
      </c>
      <c r="O352" s="439">
        <v>1840</v>
      </c>
      <c r="P352" s="439">
        <v>3395</v>
      </c>
    </row>
    <row r="353" spans="1:16" x14ac:dyDescent="0.3">
      <c r="A353" s="439" t="s">
        <v>5</v>
      </c>
      <c r="B353" s="439">
        <v>4898</v>
      </c>
      <c r="C353" s="439">
        <v>2253</v>
      </c>
      <c r="D353" s="439">
        <v>7151</v>
      </c>
      <c r="E353" s="439">
        <v>3368</v>
      </c>
      <c r="F353" s="439">
        <v>4863</v>
      </c>
      <c r="G353" s="439">
        <v>8231</v>
      </c>
      <c r="H353" s="439">
        <v>93</v>
      </c>
      <c r="I353" s="439">
        <v>61</v>
      </c>
      <c r="J353" s="439">
        <v>154</v>
      </c>
      <c r="K353" s="439">
        <v>32944</v>
      </c>
      <c r="L353" s="439">
        <v>33801</v>
      </c>
      <c r="M353" s="439">
        <v>66745</v>
      </c>
      <c r="N353" s="439">
        <v>70480</v>
      </c>
      <c r="O353" s="439">
        <v>75908</v>
      </c>
      <c r="P353" s="439">
        <v>146388</v>
      </c>
    </row>
    <row r="354" spans="1:16" x14ac:dyDescent="0.3">
      <c r="A354" s="439" t="s">
        <v>23</v>
      </c>
      <c r="B354" s="439">
        <v>680</v>
      </c>
      <c r="C354" s="439">
        <v>308</v>
      </c>
      <c r="D354" s="439">
        <v>988</v>
      </c>
      <c r="E354" s="439">
        <v>236</v>
      </c>
      <c r="F354" s="439">
        <v>284</v>
      </c>
      <c r="G354" s="439">
        <v>520</v>
      </c>
      <c r="H354" s="439">
        <v>4</v>
      </c>
      <c r="I354" s="439">
        <v>1</v>
      </c>
      <c r="J354" s="439">
        <v>5</v>
      </c>
      <c r="K354" s="439">
        <v>284</v>
      </c>
      <c r="L354" s="439">
        <v>427</v>
      </c>
      <c r="M354" s="439">
        <v>711</v>
      </c>
      <c r="N354" s="439">
        <v>2605</v>
      </c>
      <c r="O354" s="439">
        <v>2727</v>
      </c>
      <c r="P354" s="439">
        <v>5332</v>
      </c>
    </row>
    <row r="355" spans="1:16" x14ac:dyDescent="0.3">
      <c r="A355" s="439" t="s">
        <v>24</v>
      </c>
      <c r="B355" s="439">
        <v>296</v>
      </c>
      <c r="C355" s="439">
        <v>134</v>
      </c>
      <c r="D355" s="439">
        <v>430</v>
      </c>
      <c r="E355" s="439">
        <v>81</v>
      </c>
      <c r="F355" s="439">
        <v>87</v>
      </c>
      <c r="G355" s="439">
        <v>168</v>
      </c>
      <c r="H355" s="439"/>
      <c r="I355" s="439"/>
      <c r="J355" s="439"/>
      <c r="K355" s="439">
        <v>43</v>
      </c>
      <c r="L355" s="439">
        <v>70</v>
      </c>
      <c r="M355" s="439">
        <v>113</v>
      </c>
      <c r="N355" s="439">
        <v>1664</v>
      </c>
      <c r="O355" s="439">
        <v>2050</v>
      </c>
      <c r="P355" s="439">
        <v>3714</v>
      </c>
    </row>
    <row r="356" spans="1:16" x14ac:dyDescent="0.3">
      <c r="A356" s="439" t="s">
        <v>6</v>
      </c>
      <c r="B356" s="439">
        <v>2057</v>
      </c>
      <c r="C356" s="439">
        <v>974</v>
      </c>
      <c r="D356" s="439">
        <v>3031</v>
      </c>
      <c r="E356" s="439">
        <v>2063</v>
      </c>
      <c r="F356" s="439">
        <v>2753</v>
      </c>
      <c r="G356" s="439">
        <v>4816</v>
      </c>
      <c r="H356" s="439">
        <v>7</v>
      </c>
      <c r="I356" s="439">
        <v>5</v>
      </c>
      <c r="J356" s="439">
        <v>12</v>
      </c>
      <c r="K356" s="439">
        <v>5547</v>
      </c>
      <c r="L356" s="439">
        <v>5402</v>
      </c>
      <c r="M356" s="439">
        <v>10949</v>
      </c>
      <c r="N356" s="439">
        <v>25342</v>
      </c>
      <c r="O356" s="439">
        <v>27569</v>
      </c>
      <c r="P356" s="439">
        <v>52911</v>
      </c>
    </row>
    <row r="357" spans="1:16" x14ac:dyDescent="0.3">
      <c r="A357" s="439" t="s">
        <v>22</v>
      </c>
      <c r="B357" s="439">
        <v>923</v>
      </c>
      <c r="C357" s="439">
        <v>423</v>
      </c>
      <c r="D357" s="439">
        <v>1346</v>
      </c>
      <c r="E357" s="439">
        <v>310</v>
      </c>
      <c r="F357" s="439">
        <v>419</v>
      </c>
      <c r="G357" s="439">
        <v>729</v>
      </c>
      <c r="H357" s="439">
        <v>4</v>
      </c>
      <c r="I357" s="439">
        <v>4</v>
      </c>
      <c r="J357" s="439">
        <v>8</v>
      </c>
      <c r="K357" s="439">
        <v>51</v>
      </c>
      <c r="L357" s="439">
        <v>94</v>
      </c>
      <c r="M357" s="439">
        <v>145</v>
      </c>
      <c r="N357" s="439">
        <v>4267</v>
      </c>
      <c r="O357" s="439">
        <v>4958</v>
      </c>
      <c r="P357" s="439">
        <v>9225</v>
      </c>
    </row>
    <row r="358" spans="1:16" x14ac:dyDescent="0.3">
      <c r="A358" s="439" t="s">
        <v>7</v>
      </c>
      <c r="B358" s="439">
        <v>962</v>
      </c>
      <c r="C358" s="439">
        <v>535</v>
      </c>
      <c r="D358" s="439">
        <v>1497</v>
      </c>
      <c r="E358" s="439">
        <v>920</v>
      </c>
      <c r="F358" s="439">
        <v>1309</v>
      </c>
      <c r="G358" s="439">
        <v>2229</v>
      </c>
      <c r="H358" s="439">
        <v>2</v>
      </c>
      <c r="I358" s="439">
        <v>3</v>
      </c>
      <c r="J358" s="439">
        <v>5</v>
      </c>
      <c r="K358" s="439">
        <v>665</v>
      </c>
      <c r="L358" s="439">
        <v>894</v>
      </c>
      <c r="M358" s="439">
        <v>1559</v>
      </c>
      <c r="N358" s="439">
        <v>8250</v>
      </c>
      <c r="O358" s="439">
        <v>9651</v>
      </c>
      <c r="P358" s="439">
        <v>17901</v>
      </c>
    </row>
    <row r="359" spans="1:16" x14ac:dyDescent="0.3">
      <c r="A359" s="439" t="s">
        <v>8</v>
      </c>
      <c r="B359" s="439">
        <v>3442</v>
      </c>
      <c r="C359" s="439">
        <v>1830</v>
      </c>
      <c r="D359" s="439">
        <v>5272</v>
      </c>
      <c r="E359" s="439">
        <v>2017</v>
      </c>
      <c r="F359" s="439">
        <v>2403</v>
      </c>
      <c r="G359" s="439">
        <v>4420</v>
      </c>
      <c r="H359" s="439">
        <v>12</v>
      </c>
      <c r="I359" s="439">
        <v>15</v>
      </c>
      <c r="J359" s="439">
        <v>27</v>
      </c>
      <c r="K359" s="439">
        <v>3325</v>
      </c>
      <c r="L359" s="439">
        <v>2919</v>
      </c>
      <c r="M359" s="439">
        <v>6244</v>
      </c>
      <c r="N359" s="439">
        <v>18875</v>
      </c>
      <c r="O359" s="439">
        <v>19805</v>
      </c>
      <c r="P359" s="439">
        <v>38680</v>
      </c>
    </row>
    <row r="360" spans="1:16" x14ac:dyDescent="0.3">
      <c r="A360" s="439" t="s">
        <v>9</v>
      </c>
      <c r="B360" s="439">
        <v>725</v>
      </c>
      <c r="C360" s="439">
        <v>300</v>
      </c>
      <c r="D360" s="439">
        <v>1145</v>
      </c>
      <c r="E360" s="439">
        <v>1640</v>
      </c>
      <c r="F360" s="439">
        <v>2080</v>
      </c>
      <c r="G360" s="439">
        <v>3767</v>
      </c>
      <c r="H360" s="439">
        <v>5</v>
      </c>
      <c r="I360" s="439">
        <v>9</v>
      </c>
      <c r="J360" s="439">
        <v>14</v>
      </c>
      <c r="K360" s="439">
        <v>1181</v>
      </c>
      <c r="L360" s="439">
        <v>1286</v>
      </c>
      <c r="M360" s="439">
        <v>2593</v>
      </c>
      <c r="N360" s="439">
        <v>11591</v>
      </c>
      <c r="O360" s="439">
        <v>14647</v>
      </c>
      <c r="P360" s="439">
        <v>27047</v>
      </c>
    </row>
    <row r="361" spans="1:16" x14ac:dyDescent="0.3">
      <c r="A361" s="439" t="s">
        <v>10</v>
      </c>
      <c r="B361" s="439">
        <v>390</v>
      </c>
      <c r="C361" s="439">
        <v>281</v>
      </c>
      <c r="D361" s="439">
        <v>671</v>
      </c>
      <c r="E361" s="439">
        <v>214</v>
      </c>
      <c r="F361" s="439">
        <v>240</v>
      </c>
      <c r="G361" s="439">
        <v>454</v>
      </c>
      <c r="H361" s="439">
        <v>1</v>
      </c>
      <c r="I361" s="439"/>
      <c r="J361" s="439">
        <v>1</v>
      </c>
      <c r="K361" s="439">
        <v>2429</v>
      </c>
      <c r="L361" s="439">
        <v>2133</v>
      </c>
      <c r="M361" s="439">
        <v>4562</v>
      </c>
      <c r="N361" s="439">
        <v>5604</v>
      </c>
      <c r="O361" s="439">
        <v>5804</v>
      </c>
      <c r="P361" s="439">
        <v>11408</v>
      </c>
    </row>
    <row r="362" spans="1:16" x14ac:dyDescent="0.3">
      <c r="A362" s="439" t="s">
        <v>11</v>
      </c>
      <c r="B362" s="439">
        <v>825</v>
      </c>
      <c r="C362" s="439">
        <v>534</v>
      </c>
      <c r="D362" s="439">
        <v>1359</v>
      </c>
      <c r="E362" s="439">
        <v>558</v>
      </c>
      <c r="F362" s="439">
        <v>709</v>
      </c>
      <c r="G362" s="439">
        <v>1267</v>
      </c>
      <c r="H362" s="439"/>
      <c r="I362" s="439"/>
      <c r="J362" s="439"/>
      <c r="K362" s="439">
        <v>1516</v>
      </c>
      <c r="L362" s="439">
        <v>1680</v>
      </c>
      <c r="M362" s="439">
        <v>3197</v>
      </c>
      <c r="N362" s="439">
        <v>17838</v>
      </c>
      <c r="O362" s="439">
        <v>17310</v>
      </c>
      <c r="P362" s="439">
        <v>35150</v>
      </c>
    </row>
    <row r="363" spans="1:16" x14ac:dyDescent="0.3">
      <c r="A363" s="439" t="s">
        <v>12</v>
      </c>
      <c r="B363" s="439">
        <v>3674</v>
      </c>
      <c r="C363" s="439">
        <v>1690</v>
      </c>
      <c r="D363" s="439">
        <v>5365</v>
      </c>
      <c r="E363" s="439">
        <v>2364</v>
      </c>
      <c r="F363" s="439">
        <v>2865</v>
      </c>
      <c r="G363" s="439">
        <v>5229</v>
      </c>
      <c r="H363" s="439">
        <v>28</v>
      </c>
      <c r="I363" s="439">
        <v>13</v>
      </c>
      <c r="J363" s="439">
        <v>41</v>
      </c>
      <c r="K363" s="439">
        <v>1764</v>
      </c>
      <c r="L363" s="439">
        <v>1863</v>
      </c>
      <c r="M363" s="439">
        <v>3627</v>
      </c>
      <c r="N363" s="439">
        <v>20296</v>
      </c>
      <c r="O363" s="439">
        <v>21449</v>
      </c>
      <c r="P363" s="439">
        <v>41746</v>
      </c>
    </row>
    <row r="364" spans="1:16" x14ac:dyDescent="0.3">
      <c r="A364" s="439" t="s">
        <v>13</v>
      </c>
      <c r="B364" s="439">
        <v>469</v>
      </c>
      <c r="C364" s="439">
        <v>255</v>
      </c>
      <c r="D364" s="439">
        <v>724</v>
      </c>
      <c r="E364" s="439">
        <v>233</v>
      </c>
      <c r="F364" s="439">
        <v>258</v>
      </c>
      <c r="G364" s="439">
        <v>491</v>
      </c>
      <c r="H364" s="439">
        <v>3</v>
      </c>
      <c r="I364" s="439">
        <v>1</v>
      </c>
      <c r="J364" s="439">
        <v>4</v>
      </c>
      <c r="K364" s="439">
        <v>49</v>
      </c>
      <c r="L364" s="439">
        <v>84</v>
      </c>
      <c r="M364" s="439">
        <v>133</v>
      </c>
      <c r="N364" s="439">
        <v>3387</v>
      </c>
      <c r="O364" s="439">
        <v>3957</v>
      </c>
      <c r="P364" s="439">
        <v>7344</v>
      </c>
    </row>
    <row r="365" spans="1:16" x14ac:dyDescent="0.3">
      <c r="A365" s="439" t="s">
        <v>14</v>
      </c>
      <c r="B365" s="439">
        <v>95</v>
      </c>
      <c r="C365" s="439">
        <v>37</v>
      </c>
      <c r="D365" s="439">
        <v>132</v>
      </c>
      <c r="E365" s="439">
        <v>173</v>
      </c>
      <c r="F365" s="439">
        <v>256</v>
      </c>
      <c r="G365" s="439">
        <v>429</v>
      </c>
      <c r="H365" s="439">
        <v>3</v>
      </c>
      <c r="I365" s="439">
        <v>1</v>
      </c>
      <c r="J365" s="439">
        <v>4</v>
      </c>
      <c r="K365" s="439">
        <v>26</v>
      </c>
      <c r="L365" s="439">
        <v>25</v>
      </c>
      <c r="M365" s="439">
        <v>51</v>
      </c>
      <c r="N365" s="439">
        <v>1293</v>
      </c>
      <c r="O365" s="439">
        <v>1360</v>
      </c>
      <c r="P365" s="439">
        <v>2653</v>
      </c>
    </row>
    <row r="366" spans="1:16" x14ac:dyDescent="0.3">
      <c r="A366" s="439" t="s">
        <v>15</v>
      </c>
      <c r="B366" s="439">
        <v>683</v>
      </c>
      <c r="C366" s="439">
        <v>342</v>
      </c>
      <c r="D366" s="439">
        <v>1056</v>
      </c>
      <c r="E366" s="439">
        <v>1333</v>
      </c>
      <c r="F366" s="439">
        <v>1787</v>
      </c>
      <c r="G366" s="439">
        <v>3138</v>
      </c>
      <c r="H366" s="439">
        <v>2</v>
      </c>
      <c r="I366" s="439">
        <v>4</v>
      </c>
      <c r="J366" s="439">
        <v>6</v>
      </c>
      <c r="K366" s="439">
        <v>21994</v>
      </c>
      <c r="L366" s="439">
        <v>16889</v>
      </c>
      <c r="M366" s="439">
        <v>40278</v>
      </c>
      <c r="N366" s="439">
        <v>34603</v>
      </c>
      <c r="O366" s="439">
        <v>28793</v>
      </c>
      <c r="P366" s="439">
        <v>64897</v>
      </c>
    </row>
    <row r="367" spans="1:16" x14ac:dyDescent="0.3">
      <c r="A367" s="439" t="s">
        <v>16</v>
      </c>
      <c r="B367" s="439">
        <v>768</v>
      </c>
      <c r="C367" s="439">
        <v>271</v>
      </c>
      <c r="D367" s="439">
        <v>1049</v>
      </c>
      <c r="E367" s="439">
        <v>1048</v>
      </c>
      <c r="F367" s="439">
        <v>1507</v>
      </c>
      <c r="G367" s="439">
        <v>2566</v>
      </c>
      <c r="H367" s="439">
        <v>15</v>
      </c>
      <c r="I367" s="439">
        <v>6</v>
      </c>
      <c r="J367" s="439">
        <v>21</v>
      </c>
      <c r="K367" s="439">
        <v>944</v>
      </c>
      <c r="L367" s="439">
        <v>1139</v>
      </c>
      <c r="M367" s="439">
        <v>2088</v>
      </c>
      <c r="N367" s="439">
        <v>8577</v>
      </c>
      <c r="O367" s="439">
        <v>9485</v>
      </c>
      <c r="P367" s="439">
        <v>18149</v>
      </c>
    </row>
    <row r="368" spans="1:16" x14ac:dyDescent="0.3">
      <c r="A368" s="439" t="s">
        <v>17</v>
      </c>
      <c r="B368" s="439">
        <v>168</v>
      </c>
      <c r="C368" s="439">
        <v>79</v>
      </c>
      <c r="D368" s="439">
        <v>247</v>
      </c>
      <c r="E368" s="439">
        <v>70</v>
      </c>
      <c r="F368" s="439">
        <v>83</v>
      </c>
      <c r="G368" s="439">
        <v>153</v>
      </c>
      <c r="H368" s="439"/>
      <c r="I368" s="439">
        <v>1</v>
      </c>
      <c r="J368" s="439">
        <v>1</v>
      </c>
      <c r="K368" s="439">
        <v>11</v>
      </c>
      <c r="L368" s="439">
        <v>17</v>
      </c>
      <c r="M368" s="439">
        <v>28</v>
      </c>
      <c r="N368" s="439">
        <v>1473</v>
      </c>
      <c r="O368" s="439">
        <v>1748</v>
      </c>
      <c r="P368" s="439">
        <v>3221</v>
      </c>
    </row>
    <row r="369" spans="1:16" x14ac:dyDescent="0.3">
      <c r="A369" s="439" t="s">
        <v>18</v>
      </c>
      <c r="B369" s="439">
        <v>216</v>
      </c>
      <c r="C369" s="439">
        <v>93</v>
      </c>
      <c r="D369" s="439">
        <v>391</v>
      </c>
      <c r="E369" s="439">
        <v>289</v>
      </c>
      <c r="F369" s="439">
        <v>388</v>
      </c>
      <c r="G369" s="439">
        <v>724</v>
      </c>
      <c r="H369" s="439">
        <v>2</v>
      </c>
      <c r="I369" s="439"/>
      <c r="J369" s="439">
        <v>2</v>
      </c>
      <c r="K369" s="439">
        <v>5850</v>
      </c>
      <c r="L369" s="439">
        <v>4932</v>
      </c>
      <c r="M369" s="439">
        <v>10800</v>
      </c>
      <c r="N369" s="439">
        <v>10963</v>
      </c>
      <c r="O369" s="439">
        <v>10659</v>
      </c>
      <c r="P369" s="439">
        <v>22714</v>
      </c>
    </row>
    <row r="370" spans="1:16" x14ac:dyDescent="0.3">
      <c r="A370" s="439" t="s">
        <v>19</v>
      </c>
      <c r="B370" s="439">
        <v>981</v>
      </c>
      <c r="C370" s="439">
        <v>520</v>
      </c>
      <c r="D370" s="439">
        <v>1502</v>
      </c>
      <c r="E370" s="439">
        <v>1651</v>
      </c>
      <c r="F370" s="439">
        <v>1964</v>
      </c>
      <c r="G370" s="439">
        <v>3615</v>
      </c>
      <c r="H370" s="439">
        <v>13</v>
      </c>
      <c r="I370" s="439">
        <v>5</v>
      </c>
      <c r="J370" s="439">
        <v>18</v>
      </c>
      <c r="K370" s="439">
        <v>8134</v>
      </c>
      <c r="L370" s="439">
        <v>7044</v>
      </c>
      <c r="M370" s="439">
        <v>15180</v>
      </c>
      <c r="N370" s="439">
        <v>26215</v>
      </c>
      <c r="O370" s="439">
        <v>24050</v>
      </c>
      <c r="P370" s="439">
        <v>50272</v>
      </c>
    </row>
    <row r="371" spans="1:16" x14ac:dyDescent="0.3">
      <c r="A371" s="439" t="s">
        <v>20</v>
      </c>
      <c r="B371" s="439">
        <v>482</v>
      </c>
      <c r="C371" s="439">
        <v>233</v>
      </c>
      <c r="D371" s="439">
        <v>719</v>
      </c>
      <c r="E371" s="439">
        <v>671</v>
      </c>
      <c r="F371" s="439">
        <v>893</v>
      </c>
      <c r="G371" s="439">
        <v>1568</v>
      </c>
      <c r="H371" s="439"/>
      <c r="I371" s="439"/>
      <c r="J371" s="439"/>
      <c r="K371" s="439">
        <v>982</v>
      </c>
      <c r="L371" s="439">
        <v>1070</v>
      </c>
      <c r="M371" s="439">
        <v>2052</v>
      </c>
      <c r="N371" s="439">
        <v>6633</v>
      </c>
      <c r="O371" s="439">
        <v>6709</v>
      </c>
      <c r="P371" s="439">
        <v>13364</v>
      </c>
    </row>
    <row r="372" spans="1:16" ht="20.25" customHeight="1" x14ac:dyDescent="0.3">
      <c r="A372" s="439" t="s">
        <v>1</v>
      </c>
      <c r="B372" s="440">
        <v>26854</v>
      </c>
      <c r="C372" s="440">
        <v>12986</v>
      </c>
      <c r="D372" s="440">
        <v>40089</v>
      </c>
      <c r="E372" s="440">
        <v>22191</v>
      </c>
      <c r="F372" s="440">
        <v>29292</v>
      </c>
      <c r="G372" s="440">
        <v>51610</v>
      </c>
      <c r="H372" s="440">
        <v>226</v>
      </c>
      <c r="I372" s="440">
        <v>156</v>
      </c>
      <c r="J372" s="440">
        <v>382</v>
      </c>
      <c r="K372" s="440">
        <v>93559</v>
      </c>
      <c r="L372" s="440">
        <v>87715</v>
      </c>
      <c r="M372" s="440">
        <v>182821</v>
      </c>
      <c r="N372" s="440">
        <v>310764</v>
      </c>
      <c r="O372" s="440">
        <v>321828</v>
      </c>
      <c r="P372" s="440">
        <v>636113</v>
      </c>
    </row>
    <row r="374" spans="1:16" x14ac:dyDescent="0.3">
      <c r="A374" s="424" t="s">
        <v>214</v>
      </c>
    </row>
    <row r="376" spans="1:16" ht="31.5" customHeight="1" x14ac:dyDescent="0.3">
      <c r="A376" s="478" t="s">
        <v>268</v>
      </c>
      <c r="B376" s="478"/>
      <c r="C376" s="478"/>
      <c r="D376" s="478"/>
      <c r="E376" s="478"/>
      <c r="F376" s="478"/>
      <c r="G376" s="478"/>
      <c r="H376" s="478"/>
      <c r="I376" s="478"/>
      <c r="J376" s="478"/>
      <c r="K376" s="478"/>
    </row>
    <row r="377" spans="1:16" ht="14.5" thickBot="1" x14ac:dyDescent="0.35"/>
    <row r="378" spans="1:16" ht="42.5" thickBot="1" x14ac:dyDescent="0.35">
      <c r="A378" s="425" t="s">
        <v>184</v>
      </c>
      <c r="B378" s="348" t="s">
        <v>43</v>
      </c>
      <c r="C378" s="348" t="s">
        <v>201</v>
      </c>
      <c r="D378" s="348" t="s">
        <v>39</v>
      </c>
      <c r="E378" s="348" t="s">
        <v>44</v>
      </c>
      <c r="F378" s="348" t="s">
        <v>199</v>
      </c>
      <c r="G378" s="348" t="s">
        <v>36</v>
      </c>
      <c r="H378" s="348" t="s">
        <v>38</v>
      </c>
      <c r="I378" s="348" t="s">
        <v>42</v>
      </c>
      <c r="J378" s="426" t="s">
        <v>37</v>
      </c>
      <c r="K378" s="427" t="s">
        <v>139</v>
      </c>
      <c r="L378" s="428" t="s">
        <v>185</v>
      </c>
    </row>
    <row r="379" spans="1:16" x14ac:dyDescent="0.3">
      <c r="A379" s="429" t="s">
        <v>202</v>
      </c>
      <c r="B379" s="430">
        <v>17365</v>
      </c>
      <c r="C379" s="430">
        <v>3381</v>
      </c>
      <c r="D379" s="430">
        <v>6748</v>
      </c>
      <c r="E379" s="430">
        <v>4417</v>
      </c>
      <c r="F379" s="430">
        <v>3319</v>
      </c>
      <c r="G379" s="430">
        <v>928</v>
      </c>
      <c r="H379" s="430">
        <v>1776</v>
      </c>
      <c r="I379" s="430">
        <v>47</v>
      </c>
      <c r="J379" s="430">
        <v>1555</v>
      </c>
      <c r="K379" s="431">
        <v>39536</v>
      </c>
      <c r="L379" s="432">
        <v>0.5141088658292372</v>
      </c>
    </row>
    <row r="380" spans="1:16" x14ac:dyDescent="0.3">
      <c r="A380" s="433" t="s">
        <v>203</v>
      </c>
      <c r="B380" s="357">
        <v>677</v>
      </c>
      <c r="C380" s="357">
        <v>31</v>
      </c>
      <c r="D380" s="357">
        <v>102</v>
      </c>
      <c r="E380" s="357">
        <v>1617</v>
      </c>
      <c r="F380" s="357">
        <v>746</v>
      </c>
      <c r="G380" s="357">
        <v>567</v>
      </c>
      <c r="H380" s="357">
        <v>1796</v>
      </c>
      <c r="I380" s="357">
        <v>5</v>
      </c>
      <c r="J380" s="357">
        <v>2403</v>
      </c>
      <c r="K380" s="358">
        <v>7944</v>
      </c>
      <c r="L380" s="359">
        <v>0.10330030428337364</v>
      </c>
    </row>
    <row r="381" spans="1:16" x14ac:dyDescent="0.3">
      <c r="A381" s="433" t="s">
        <v>204</v>
      </c>
      <c r="B381" s="357">
        <v>175</v>
      </c>
      <c r="C381" s="357">
        <v>24</v>
      </c>
      <c r="D381" s="357">
        <v>123</v>
      </c>
      <c r="E381" s="357">
        <v>518</v>
      </c>
      <c r="F381" s="357">
        <v>249</v>
      </c>
      <c r="G381" s="357">
        <v>99</v>
      </c>
      <c r="H381" s="357">
        <v>66</v>
      </c>
      <c r="I381" s="357">
        <v>7</v>
      </c>
      <c r="J381" s="357">
        <v>1939</v>
      </c>
      <c r="K381" s="358">
        <v>3200</v>
      </c>
      <c r="L381" s="359">
        <v>4.1611401524017579E-2</v>
      </c>
    </row>
    <row r="382" spans="1:16" x14ac:dyDescent="0.3">
      <c r="A382" s="433" t="s">
        <v>210</v>
      </c>
      <c r="B382" s="357">
        <v>4</v>
      </c>
      <c r="C382" s="357">
        <v>2</v>
      </c>
      <c r="D382" s="357">
        <v>1</v>
      </c>
      <c r="E382" s="357">
        <v>446</v>
      </c>
      <c r="F382" s="357">
        <v>275</v>
      </c>
      <c r="G382" s="357">
        <v>10</v>
      </c>
      <c r="H382" s="357">
        <v>8</v>
      </c>
      <c r="I382" s="357"/>
      <c r="J382" s="357">
        <v>1830</v>
      </c>
      <c r="K382" s="358">
        <v>2576</v>
      </c>
      <c r="L382" s="359">
        <v>3.3497178226834151E-2</v>
      </c>
    </row>
    <row r="383" spans="1:16" x14ac:dyDescent="0.3">
      <c r="A383" s="433" t="s">
        <v>216</v>
      </c>
      <c r="B383" s="357">
        <v>1246</v>
      </c>
      <c r="C383" s="357">
        <v>45</v>
      </c>
      <c r="D383" s="357">
        <v>295</v>
      </c>
      <c r="E383" s="357">
        <v>386</v>
      </c>
      <c r="F383" s="357">
        <v>34</v>
      </c>
      <c r="G383" s="357">
        <v>51</v>
      </c>
      <c r="H383" s="357">
        <v>340</v>
      </c>
      <c r="I383" s="357">
        <v>1</v>
      </c>
      <c r="J383" s="357">
        <v>80</v>
      </c>
      <c r="K383" s="358">
        <v>2478</v>
      </c>
      <c r="L383" s="359">
        <v>3.2222829055161113E-2</v>
      </c>
    </row>
    <row r="384" spans="1:16" x14ac:dyDescent="0.3">
      <c r="A384" s="433" t="s">
        <v>207</v>
      </c>
      <c r="B384" s="357">
        <v>7</v>
      </c>
      <c r="C384" s="357">
        <v>15</v>
      </c>
      <c r="D384" s="357">
        <v>1</v>
      </c>
      <c r="E384" s="357">
        <v>665</v>
      </c>
      <c r="F384" s="357">
        <v>285</v>
      </c>
      <c r="G384" s="357">
        <v>14</v>
      </c>
      <c r="H384" s="357">
        <v>24</v>
      </c>
      <c r="I384" s="357"/>
      <c r="J384" s="357">
        <v>1248</v>
      </c>
      <c r="K384" s="358">
        <v>2259</v>
      </c>
      <c r="L384" s="359">
        <v>2.937504876336116E-2</v>
      </c>
    </row>
    <row r="385" spans="1:12" x14ac:dyDescent="0.3">
      <c r="A385" s="433" t="s">
        <v>205</v>
      </c>
      <c r="B385" s="357">
        <v>292</v>
      </c>
      <c r="C385" s="357">
        <v>5</v>
      </c>
      <c r="D385" s="357">
        <v>6</v>
      </c>
      <c r="E385" s="357">
        <v>453</v>
      </c>
      <c r="F385" s="357">
        <v>225</v>
      </c>
      <c r="G385" s="357">
        <v>27</v>
      </c>
      <c r="H385" s="357">
        <v>289</v>
      </c>
      <c r="I385" s="357">
        <v>1</v>
      </c>
      <c r="J385" s="357">
        <v>841</v>
      </c>
      <c r="K385" s="358">
        <v>2139</v>
      </c>
      <c r="L385" s="359">
        <v>2.7814621206210501E-2</v>
      </c>
    </row>
    <row r="386" spans="1:12" x14ac:dyDescent="0.3">
      <c r="A386" s="433" t="s">
        <v>206</v>
      </c>
      <c r="B386" s="357">
        <v>178</v>
      </c>
      <c r="C386" s="357">
        <v>5</v>
      </c>
      <c r="D386" s="357">
        <v>14</v>
      </c>
      <c r="E386" s="357">
        <v>279</v>
      </c>
      <c r="F386" s="357">
        <v>213</v>
      </c>
      <c r="G386" s="357">
        <v>11</v>
      </c>
      <c r="H386" s="357">
        <v>974</v>
      </c>
      <c r="I386" s="357"/>
      <c r="J386" s="357">
        <v>291</v>
      </c>
      <c r="K386" s="358">
        <v>1965</v>
      </c>
      <c r="L386" s="359">
        <v>2.5552001248342046E-2</v>
      </c>
    </row>
    <row r="387" spans="1:12" x14ac:dyDescent="0.3">
      <c r="A387" s="433" t="s">
        <v>208</v>
      </c>
      <c r="B387" s="357">
        <v>8</v>
      </c>
      <c r="C387" s="357">
        <v>2</v>
      </c>
      <c r="D387" s="357">
        <v>7</v>
      </c>
      <c r="E387" s="357">
        <v>556</v>
      </c>
      <c r="F387" s="357">
        <v>121</v>
      </c>
      <c r="G387" s="357">
        <v>6</v>
      </c>
      <c r="H387" s="357">
        <v>2</v>
      </c>
      <c r="I387" s="357"/>
      <c r="J387" s="357">
        <v>619</v>
      </c>
      <c r="K387" s="358">
        <v>1321</v>
      </c>
      <c r="L387" s="359">
        <v>1.7177706691633508E-2</v>
      </c>
    </row>
    <row r="388" spans="1:12" x14ac:dyDescent="0.3">
      <c r="A388" s="433" t="s">
        <v>209</v>
      </c>
      <c r="B388" s="357">
        <v>148</v>
      </c>
      <c r="C388" s="357">
        <v>7</v>
      </c>
      <c r="D388" s="357">
        <v>52</v>
      </c>
      <c r="E388" s="357">
        <v>288</v>
      </c>
      <c r="F388" s="357">
        <v>145</v>
      </c>
      <c r="G388" s="357">
        <v>191</v>
      </c>
      <c r="H388" s="357">
        <v>109</v>
      </c>
      <c r="I388" s="357">
        <v>1</v>
      </c>
      <c r="J388" s="357">
        <v>351</v>
      </c>
      <c r="K388" s="358">
        <v>1292</v>
      </c>
      <c r="L388" s="359">
        <v>1.68006033653221E-2</v>
      </c>
    </row>
    <row r="389" spans="1:12" x14ac:dyDescent="0.3">
      <c r="A389" s="433" t="s">
        <v>266</v>
      </c>
      <c r="B389" s="357">
        <v>1</v>
      </c>
      <c r="C389" s="357">
        <v>4</v>
      </c>
      <c r="D389" s="357"/>
      <c r="E389" s="357">
        <v>216</v>
      </c>
      <c r="F389" s="357">
        <v>176</v>
      </c>
      <c r="G389" s="357">
        <v>18</v>
      </c>
      <c r="H389" s="357">
        <v>2</v>
      </c>
      <c r="I389" s="357"/>
      <c r="J389" s="357">
        <v>755</v>
      </c>
      <c r="K389" s="358">
        <v>1172</v>
      </c>
      <c r="L389" s="359">
        <v>1.5240175808171439E-2</v>
      </c>
    </row>
    <row r="390" spans="1:12" x14ac:dyDescent="0.3">
      <c r="A390" s="433" t="s">
        <v>211</v>
      </c>
      <c r="B390" s="357">
        <v>3</v>
      </c>
      <c r="C390" s="357">
        <v>5</v>
      </c>
      <c r="D390" s="357"/>
      <c r="E390" s="357">
        <v>273</v>
      </c>
      <c r="F390" s="357">
        <v>148</v>
      </c>
      <c r="G390" s="357">
        <v>12</v>
      </c>
      <c r="H390" s="357">
        <v>5</v>
      </c>
      <c r="I390" s="357"/>
      <c r="J390" s="357">
        <v>696</v>
      </c>
      <c r="K390" s="358">
        <v>1142</v>
      </c>
      <c r="L390" s="359">
        <v>1.4850068918883774E-2</v>
      </c>
    </row>
    <row r="391" spans="1:12" x14ac:dyDescent="0.3">
      <c r="A391" s="433" t="s">
        <v>267</v>
      </c>
      <c r="B391" s="357">
        <v>276</v>
      </c>
      <c r="C391" s="357">
        <v>24</v>
      </c>
      <c r="D391" s="357">
        <v>204</v>
      </c>
      <c r="E391" s="357">
        <v>182</v>
      </c>
      <c r="F391" s="357">
        <v>173</v>
      </c>
      <c r="G391" s="357">
        <v>18</v>
      </c>
      <c r="H391" s="357">
        <v>36</v>
      </c>
      <c r="I391" s="357">
        <v>2</v>
      </c>
      <c r="J391" s="357">
        <v>169</v>
      </c>
      <c r="K391" s="358">
        <v>1084</v>
      </c>
      <c r="L391" s="359">
        <v>1.4095862266260955E-2</v>
      </c>
    </row>
    <row r="392" spans="1:12" x14ac:dyDescent="0.3">
      <c r="A392" s="433" t="s">
        <v>145</v>
      </c>
      <c r="B392" s="357">
        <v>1003</v>
      </c>
      <c r="C392" s="357">
        <v>127</v>
      </c>
      <c r="D392" s="357">
        <v>327</v>
      </c>
      <c r="E392" s="357">
        <v>2555</v>
      </c>
      <c r="F392" s="357">
        <v>610</v>
      </c>
      <c r="G392" s="357">
        <v>442</v>
      </c>
      <c r="H392" s="357">
        <v>605</v>
      </c>
      <c r="I392" s="357">
        <v>2</v>
      </c>
      <c r="J392" s="357">
        <v>3123</v>
      </c>
      <c r="K392" s="358">
        <v>8794</v>
      </c>
      <c r="L392" s="359">
        <v>0.11435333281319081</v>
      </c>
    </row>
    <row r="393" spans="1:12" ht="14.5" thickBot="1" x14ac:dyDescent="0.35">
      <c r="A393" s="105" t="s">
        <v>1</v>
      </c>
      <c r="B393" s="360">
        <v>21383</v>
      </c>
      <c r="C393" s="360">
        <v>3677</v>
      </c>
      <c r="D393" s="360">
        <v>7880</v>
      </c>
      <c r="E393" s="360">
        <v>12851</v>
      </c>
      <c r="F393" s="360">
        <v>6719</v>
      </c>
      <c r="G393" s="360">
        <v>2394</v>
      </c>
      <c r="H393" s="360">
        <v>6032</v>
      </c>
      <c r="I393" s="360">
        <v>66</v>
      </c>
      <c r="J393" s="360">
        <v>15900</v>
      </c>
      <c r="K393" s="360">
        <v>76902</v>
      </c>
      <c r="L393" s="434">
        <v>1</v>
      </c>
    </row>
    <row r="394" spans="1:12" x14ac:dyDescent="0.3">
      <c r="A394" s="435"/>
      <c r="B394" s="436"/>
      <c r="C394" s="436"/>
      <c r="D394" s="436"/>
      <c r="E394" s="436"/>
      <c r="F394" s="436"/>
      <c r="G394" s="436"/>
      <c r="H394" s="436"/>
      <c r="I394" s="436"/>
      <c r="J394" s="436"/>
      <c r="K394" s="436"/>
      <c r="L394" s="437"/>
    </row>
    <row r="395" spans="1:12" x14ac:dyDescent="0.3">
      <c r="A395" s="435"/>
      <c r="B395" s="436"/>
      <c r="C395" s="436"/>
      <c r="D395" s="436"/>
      <c r="E395" s="436"/>
      <c r="F395" s="436"/>
      <c r="G395" s="436"/>
      <c r="H395" s="436"/>
      <c r="I395" s="436"/>
      <c r="J395" s="436"/>
      <c r="K395" s="436"/>
      <c r="L395" s="437"/>
    </row>
    <row r="396" spans="1:12" ht="29.5" customHeight="1" x14ac:dyDescent="0.3">
      <c r="A396" s="478" t="s">
        <v>269</v>
      </c>
      <c r="B396" s="478"/>
      <c r="C396" s="478"/>
      <c r="D396" s="478"/>
      <c r="E396" s="478"/>
      <c r="F396" s="478"/>
      <c r="G396" s="478"/>
      <c r="H396" s="478"/>
      <c r="I396" s="478"/>
      <c r="J396" s="478"/>
      <c r="K396" s="478"/>
    </row>
    <row r="397" spans="1:12" ht="14.5" thickBot="1" x14ac:dyDescent="0.35"/>
    <row r="398" spans="1:12" ht="34.5" x14ac:dyDescent="0.3">
      <c r="A398" s="274" t="s">
        <v>2</v>
      </c>
      <c r="B398" s="275" t="s">
        <v>146</v>
      </c>
      <c r="C398" s="276" t="s">
        <v>147</v>
      </c>
      <c r="D398" s="275" t="s">
        <v>148</v>
      </c>
      <c r="E398" s="277" t="s">
        <v>149</v>
      </c>
    </row>
    <row r="399" spans="1:12" ht="20.25" customHeight="1" x14ac:dyDescent="0.3">
      <c r="A399" s="278" t="s">
        <v>3</v>
      </c>
      <c r="B399" s="279">
        <v>3378805</v>
      </c>
      <c r="C399" s="280">
        <v>34271075.49000001</v>
      </c>
      <c r="D399" s="280">
        <v>168.1658718780881</v>
      </c>
      <c r="E399" s="281">
        <v>50.879526571307615</v>
      </c>
    </row>
    <row r="400" spans="1:12" x14ac:dyDescent="0.3">
      <c r="A400" s="278" t="s">
        <v>96</v>
      </c>
      <c r="B400" s="279">
        <v>78640</v>
      </c>
      <c r="C400" s="280">
        <v>866235.22999999975</v>
      </c>
      <c r="D400" s="280">
        <v>148.5490975453616</v>
      </c>
      <c r="E400" s="281">
        <v>40.408756317156282</v>
      </c>
    </row>
    <row r="401" spans="1:5" x14ac:dyDescent="0.3">
      <c r="A401" s="278" t="s">
        <v>5</v>
      </c>
      <c r="B401" s="279">
        <v>5998561</v>
      </c>
      <c r="C401" s="280">
        <v>63021898.49999994</v>
      </c>
      <c r="D401" s="280">
        <v>121.9564155946719</v>
      </c>
      <c r="E401" s="281">
        <v>40.9350116229432</v>
      </c>
    </row>
    <row r="402" spans="1:5" x14ac:dyDescent="0.3">
      <c r="A402" s="278" t="s">
        <v>23</v>
      </c>
      <c r="B402" s="279">
        <v>401607</v>
      </c>
      <c r="C402" s="280">
        <v>4471762.9199999962</v>
      </c>
      <c r="D402" s="280">
        <v>143.90550836445209</v>
      </c>
      <c r="E402" s="281">
        <v>50.956379880544148</v>
      </c>
    </row>
    <row r="403" spans="1:5" x14ac:dyDescent="0.3">
      <c r="A403" s="278" t="s">
        <v>24</v>
      </c>
      <c r="B403" s="279">
        <v>370776</v>
      </c>
      <c r="C403" s="280">
        <v>3840152.4099999983</v>
      </c>
      <c r="D403" s="280">
        <v>129.31353587832405</v>
      </c>
      <c r="E403" s="281">
        <v>44.944686976773532</v>
      </c>
    </row>
    <row r="404" spans="1:5" x14ac:dyDescent="0.3">
      <c r="A404" s="278" t="s">
        <v>6</v>
      </c>
      <c r="B404" s="279">
        <v>3144427</v>
      </c>
      <c r="C404" s="280">
        <v>33178883.219999999</v>
      </c>
      <c r="D404" s="280">
        <v>119.70764369020183</v>
      </c>
      <c r="E404" s="281">
        <v>42.663922171879861</v>
      </c>
    </row>
    <row r="405" spans="1:5" x14ac:dyDescent="0.3">
      <c r="A405" s="278" t="s">
        <v>22</v>
      </c>
      <c r="B405" s="279">
        <v>695122</v>
      </c>
      <c r="C405" s="280">
        <v>7374981.080000001</v>
      </c>
      <c r="D405" s="280">
        <v>111.39240260295593</v>
      </c>
      <c r="E405" s="281">
        <v>34.517820770460212</v>
      </c>
    </row>
    <row r="406" spans="1:5" x14ac:dyDescent="0.3">
      <c r="A406" s="278" t="s">
        <v>7</v>
      </c>
      <c r="B406" s="279">
        <v>1425705</v>
      </c>
      <c r="C406" s="280">
        <v>14945635.180000005</v>
      </c>
      <c r="D406" s="280">
        <v>210.28284692406828</v>
      </c>
      <c r="E406" s="281">
        <v>59.40683357215827</v>
      </c>
    </row>
    <row r="407" spans="1:5" x14ac:dyDescent="0.3">
      <c r="A407" s="278" t="s">
        <v>8</v>
      </c>
      <c r="B407" s="279">
        <v>3450855</v>
      </c>
      <c r="C407" s="280">
        <v>34334546.299999975</v>
      </c>
      <c r="D407" s="280">
        <v>152.49355319345068</v>
      </c>
      <c r="E407" s="281">
        <v>52.18800101784246</v>
      </c>
    </row>
    <row r="408" spans="1:5" x14ac:dyDescent="0.3">
      <c r="A408" s="278" t="s">
        <v>9</v>
      </c>
      <c r="B408" s="279">
        <v>3734353</v>
      </c>
      <c r="C408" s="280">
        <v>36351662.200000003</v>
      </c>
      <c r="D408" s="280">
        <v>218.8606030679008</v>
      </c>
      <c r="E408" s="281">
        <v>70.455482856013987</v>
      </c>
    </row>
    <row r="409" spans="1:5" x14ac:dyDescent="0.3">
      <c r="A409" s="278" t="s">
        <v>10</v>
      </c>
      <c r="B409" s="279">
        <v>726135</v>
      </c>
      <c r="C409" s="280">
        <v>7255266.9799999958</v>
      </c>
      <c r="D409" s="280">
        <v>161.59490016839067</v>
      </c>
      <c r="E409" s="281">
        <v>56.362321757086647</v>
      </c>
    </row>
    <row r="410" spans="1:5" x14ac:dyDescent="0.3">
      <c r="A410" s="278" t="s">
        <v>11</v>
      </c>
      <c r="B410" s="279">
        <v>1145136</v>
      </c>
      <c r="C410" s="280">
        <v>12052869.120000005</v>
      </c>
      <c r="D410" s="280">
        <v>143.35746193301534</v>
      </c>
      <c r="E410" s="281">
        <v>50.257072184425937</v>
      </c>
    </row>
    <row r="411" spans="1:5" x14ac:dyDescent="0.3">
      <c r="A411" s="278" t="s">
        <v>12</v>
      </c>
      <c r="B411" s="279">
        <v>3510063</v>
      </c>
      <c r="C411" s="280">
        <v>39102528.12999998</v>
      </c>
      <c r="D411" s="280">
        <v>126.90602245931431</v>
      </c>
      <c r="E411" s="281">
        <v>40.862858889551987</v>
      </c>
    </row>
    <row r="412" spans="1:5" x14ac:dyDescent="0.3">
      <c r="A412" s="278" t="s">
        <v>13</v>
      </c>
      <c r="B412" s="279">
        <v>835059</v>
      </c>
      <c r="C412" s="280">
        <v>9964517.9700000007</v>
      </c>
      <c r="D412" s="280">
        <v>130.39640196912291</v>
      </c>
      <c r="E412" s="281">
        <v>41.079090948386764</v>
      </c>
    </row>
    <row r="413" spans="1:5" x14ac:dyDescent="0.3">
      <c r="A413" s="278" t="s">
        <v>14</v>
      </c>
      <c r="B413" s="279">
        <v>165858</v>
      </c>
      <c r="C413" s="280">
        <v>1884536.86</v>
      </c>
      <c r="D413" s="280">
        <v>106.45798644029988</v>
      </c>
      <c r="E413" s="281">
        <v>38.310229952633918</v>
      </c>
    </row>
    <row r="414" spans="1:5" x14ac:dyDescent="0.3">
      <c r="A414" s="278" t="s">
        <v>15</v>
      </c>
      <c r="B414" s="279">
        <v>2774847</v>
      </c>
      <c r="C414" s="280">
        <v>32628570.230000008</v>
      </c>
      <c r="D414" s="280">
        <v>101.69819810039655</v>
      </c>
      <c r="E414" s="281">
        <v>33.833028730241814</v>
      </c>
    </row>
    <row r="415" spans="1:5" x14ac:dyDescent="0.3">
      <c r="A415" s="278" t="s">
        <v>16</v>
      </c>
      <c r="B415" s="279">
        <v>2208434</v>
      </c>
      <c r="C415" s="280">
        <v>24423638.830000024</v>
      </c>
      <c r="D415" s="280">
        <v>104.44574344935424</v>
      </c>
      <c r="E415" s="281">
        <v>35.586470866627629</v>
      </c>
    </row>
    <row r="416" spans="1:5" x14ac:dyDescent="0.3">
      <c r="A416" s="278" t="s">
        <v>17</v>
      </c>
      <c r="B416" s="279">
        <v>300643</v>
      </c>
      <c r="C416" s="280">
        <v>3263189.4699999997</v>
      </c>
      <c r="D416" s="280">
        <v>101.55811250277534</v>
      </c>
      <c r="E416" s="281">
        <v>35.786654336164112</v>
      </c>
    </row>
    <row r="417" spans="1:11" x14ac:dyDescent="0.3">
      <c r="A417" s="278" t="s">
        <v>18</v>
      </c>
      <c r="B417" s="279">
        <v>1146597</v>
      </c>
      <c r="C417" s="280">
        <v>12788776.420000009</v>
      </c>
      <c r="D417" s="280">
        <v>127.00364190100916</v>
      </c>
      <c r="E417" s="281">
        <v>42.392446558635065</v>
      </c>
    </row>
    <row r="418" spans="1:11" x14ac:dyDescent="0.3">
      <c r="A418" s="278" t="s">
        <v>19</v>
      </c>
      <c r="B418" s="279">
        <v>2604132</v>
      </c>
      <c r="C418" s="280">
        <v>30049221.600000013</v>
      </c>
      <c r="D418" s="280">
        <v>112.98018812083107</v>
      </c>
      <c r="E418" s="281">
        <v>35.55404834957335</v>
      </c>
    </row>
    <row r="419" spans="1:11" x14ac:dyDescent="0.3">
      <c r="A419" s="278" t="s">
        <v>20</v>
      </c>
      <c r="B419" s="279">
        <v>1243356</v>
      </c>
      <c r="C419" s="280">
        <v>13577767.26999999</v>
      </c>
      <c r="D419" s="280">
        <v>139.49804295511225</v>
      </c>
      <c r="E419" s="281">
        <v>50.249221432810501</v>
      </c>
    </row>
    <row r="420" spans="1:11" ht="14.5" thickBot="1" x14ac:dyDescent="0.35">
      <c r="A420" s="282" t="s">
        <v>1</v>
      </c>
      <c r="B420" s="283">
        <v>39339111</v>
      </c>
      <c r="C420" s="284">
        <v>419647715.41000003</v>
      </c>
      <c r="D420" s="284">
        <v>134.34316494684174</v>
      </c>
      <c r="E420" s="285">
        <v>44.235270928070484</v>
      </c>
    </row>
    <row r="423" spans="1:11" ht="40.5" customHeight="1" x14ac:dyDescent="0.3">
      <c r="A423" s="478" t="s">
        <v>270</v>
      </c>
      <c r="B423" s="479"/>
      <c r="C423" s="479"/>
      <c r="D423" s="479"/>
      <c r="E423" s="479"/>
      <c r="F423" s="479"/>
      <c r="G423" s="479"/>
      <c r="H423" s="479"/>
      <c r="I423" s="479"/>
      <c r="J423" s="479"/>
      <c r="K423" s="479"/>
    </row>
    <row r="424" spans="1:11" ht="14.5" thickBot="1" x14ac:dyDescent="0.35"/>
    <row r="425" spans="1:11" ht="34.5" x14ac:dyDescent="0.3">
      <c r="A425" s="274" t="s">
        <v>125</v>
      </c>
      <c r="B425" s="275" t="s">
        <v>146</v>
      </c>
      <c r="C425" s="276" t="s">
        <v>147</v>
      </c>
      <c r="D425" s="275" t="s">
        <v>150</v>
      </c>
      <c r="E425" s="277" t="s">
        <v>149</v>
      </c>
    </row>
    <row r="426" spans="1:11" x14ac:dyDescent="0.3">
      <c r="A426" s="278" t="s">
        <v>3</v>
      </c>
      <c r="B426" s="279">
        <v>172789</v>
      </c>
      <c r="C426" s="280">
        <v>716979.00999999989</v>
      </c>
      <c r="D426" s="280">
        <v>7.2437434226639672</v>
      </c>
      <c r="E426" s="281">
        <v>1.0666067295421366</v>
      </c>
    </row>
    <row r="427" spans="1:11" x14ac:dyDescent="0.3">
      <c r="A427" s="278" t="s">
        <v>96</v>
      </c>
      <c r="B427" s="279">
        <v>4093</v>
      </c>
      <c r="C427" s="280">
        <v>35668.269999999997</v>
      </c>
      <c r="D427" s="280">
        <v>7.873188163464202</v>
      </c>
      <c r="E427" s="281">
        <v>0.94744039579550376</v>
      </c>
    </row>
    <row r="428" spans="1:11" x14ac:dyDescent="0.3">
      <c r="A428" s="278" t="s">
        <v>5</v>
      </c>
      <c r="B428" s="279">
        <v>1952803</v>
      </c>
      <c r="C428" s="280">
        <v>39450179.149999969</v>
      </c>
      <c r="D428" s="280">
        <v>38.996492298307153</v>
      </c>
      <c r="E428" s="281">
        <v>5.2964861684813949</v>
      </c>
    </row>
    <row r="429" spans="1:11" x14ac:dyDescent="0.3">
      <c r="A429" s="278" t="s">
        <v>23</v>
      </c>
      <c r="B429" s="279">
        <v>48254</v>
      </c>
      <c r="C429" s="280">
        <v>661997.07999999984</v>
      </c>
      <c r="D429" s="280">
        <v>20.581704442347061</v>
      </c>
      <c r="E429" s="281">
        <v>1.9244420185262943</v>
      </c>
    </row>
    <row r="430" spans="1:11" x14ac:dyDescent="0.3">
      <c r="A430" s="278" t="s">
        <v>24</v>
      </c>
      <c r="B430" s="279">
        <v>51448</v>
      </c>
      <c r="C430" s="280">
        <v>409912.84</v>
      </c>
      <c r="D430" s="280">
        <v>15.406619545861743</v>
      </c>
      <c r="E430" s="281">
        <v>1.3923905313807834</v>
      </c>
    </row>
    <row r="431" spans="1:11" x14ac:dyDescent="0.3">
      <c r="A431" s="278" t="s">
        <v>6</v>
      </c>
      <c r="B431" s="279">
        <v>372121</v>
      </c>
      <c r="C431" s="280">
        <v>3731575.3600000022</v>
      </c>
      <c r="D431" s="280">
        <v>13.787770328468003</v>
      </c>
      <c r="E431" s="281">
        <v>1.3311431453753853</v>
      </c>
    </row>
    <row r="432" spans="1:11" x14ac:dyDescent="0.3">
      <c r="A432" s="278" t="s">
        <v>22</v>
      </c>
      <c r="B432" s="279">
        <v>50189</v>
      </c>
      <c r="C432" s="280">
        <v>666628.41000000015</v>
      </c>
      <c r="D432" s="280">
        <v>9.3082108176609157</v>
      </c>
      <c r="E432" s="281">
        <v>1.2094075986537698</v>
      </c>
    </row>
    <row r="433" spans="1:5" x14ac:dyDescent="0.3">
      <c r="A433" s="278" t="s">
        <v>7</v>
      </c>
      <c r="B433" s="279">
        <v>47992</v>
      </c>
      <c r="C433" s="280">
        <v>267348.1399999999</v>
      </c>
      <c r="D433" s="280">
        <v>6.7550769840846181</v>
      </c>
      <c r="E433" s="281">
        <v>0.71497756661408252</v>
      </c>
    </row>
    <row r="434" spans="1:5" x14ac:dyDescent="0.3">
      <c r="A434" s="278" t="s">
        <v>8</v>
      </c>
      <c r="B434" s="279">
        <v>148079</v>
      </c>
      <c r="C434" s="280">
        <v>1364168.6300000001</v>
      </c>
      <c r="D434" s="280">
        <v>9.6038466099821367</v>
      </c>
      <c r="E434" s="281">
        <v>0.8510689135044095</v>
      </c>
    </row>
    <row r="435" spans="1:5" x14ac:dyDescent="0.3">
      <c r="A435" s="278" t="s">
        <v>9</v>
      </c>
      <c r="B435" s="279">
        <v>446704</v>
      </c>
      <c r="C435" s="280">
        <v>4382518.0999999987</v>
      </c>
      <c r="D435" s="280">
        <v>26.555235832307773</v>
      </c>
      <c r="E435" s="281">
        <v>1.6793044615645241</v>
      </c>
    </row>
    <row r="436" spans="1:5" x14ac:dyDescent="0.3">
      <c r="A436" s="278" t="s">
        <v>10</v>
      </c>
      <c r="B436" s="279">
        <v>25633</v>
      </c>
      <c r="C436" s="280">
        <v>198125.44000000012</v>
      </c>
      <c r="D436" s="280">
        <v>7.8195048877031068</v>
      </c>
      <c r="E436" s="281">
        <v>0.73657248452774071</v>
      </c>
    </row>
    <row r="437" spans="1:5" x14ac:dyDescent="0.3">
      <c r="A437" s="278" t="s">
        <v>11</v>
      </c>
      <c r="B437" s="279">
        <v>77163</v>
      </c>
      <c r="C437" s="280">
        <v>476397.61000000022</v>
      </c>
      <c r="D437" s="280">
        <v>13.958485565800292</v>
      </c>
      <c r="E437" s="281">
        <v>1.3532703618270616</v>
      </c>
    </row>
    <row r="438" spans="1:5" x14ac:dyDescent="0.3">
      <c r="A438" s="278" t="s">
        <v>12</v>
      </c>
      <c r="B438" s="279">
        <v>365830</v>
      </c>
      <c r="C438" s="280">
        <v>4968216.2499999963</v>
      </c>
      <c r="D438" s="280">
        <v>13.082073864703412</v>
      </c>
      <c r="E438" s="281">
        <v>1.5503128627577998</v>
      </c>
    </row>
    <row r="439" spans="1:5" x14ac:dyDescent="0.3">
      <c r="A439" s="278" t="s">
        <v>13</v>
      </c>
      <c r="B439" s="279">
        <v>269124</v>
      </c>
      <c r="C439" s="280">
        <v>4450739.7499999981</v>
      </c>
      <c r="D439" s="280">
        <v>41.22068683655322</v>
      </c>
      <c r="E439" s="281">
        <v>5.6701946087843274</v>
      </c>
    </row>
    <row r="440" spans="1:5" x14ac:dyDescent="0.3">
      <c r="A440" s="278" t="s">
        <v>14</v>
      </c>
      <c r="B440" s="279">
        <v>39560</v>
      </c>
      <c r="C440" s="280">
        <v>341994.35999999993</v>
      </c>
      <c r="D440" s="280">
        <v>33.859415705988738</v>
      </c>
      <c r="E440" s="281">
        <v>2.6809633252052545</v>
      </c>
    </row>
    <row r="441" spans="1:5" x14ac:dyDescent="0.3">
      <c r="A441" s="278" t="s">
        <v>15</v>
      </c>
      <c r="B441" s="279">
        <v>707889</v>
      </c>
      <c r="C441" s="280">
        <v>7003064.9400000023</v>
      </c>
      <c r="D441" s="280">
        <v>25.180934831215268</v>
      </c>
      <c r="E441" s="281">
        <v>2.3240440214988918</v>
      </c>
    </row>
    <row r="442" spans="1:5" x14ac:dyDescent="0.3">
      <c r="A442" s="278" t="s">
        <v>16</v>
      </c>
      <c r="B442" s="279">
        <v>746119</v>
      </c>
      <c r="C442" s="280">
        <v>8314150.1899999967</v>
      </c>
      <c r="D442" s="280">
        <v>33.50918309736425</v>
      </c>
      <c r="E442" s="281">
        <v>4.097544768813532</v>
      </c>
    </row>
    <row r="443" spans="1:5" x14ac:dyDescent="0.3">
      <c r="A443" s="278" t="s">
        <v>17</v>
      </c>
      <c r="B443" s="279">
        <v>123477</v>
      </c>
      <c r="C443" s="280">
        <v>1726559.6800000009</v>
      </c>
      <c r="D443" s="280">
        <v>44.340251021980748</v>
      </c>
      <c r="E443" s="281">
        <v>5.9743057875178174</v>
      </c>
    </row>
    <row r="444" spans="1:5" x14ac:dyDescent="0.3">
      <c r="A444" s="278" t="s">
        <v>18</v>
      </c>
      <c r="B444" s="279">
        <v>152398</v>
      </c>
      <c r="C444" s="280">
        <v>2131562.7799999989</v>
      </c>
      <c r="D444" s="280">
        <v>23.503123241182301</v>
      </c>
      <c r="E444" s="281">
        <v>2.718416750838808</v>
      </c>
    </row>
    <row r="445" spans="1:5" x14ac:dyDescent="0.3">
      <c r="A445" s="278" t="s">
        <v>19</v>
      </c>
      <c r="B445" s="279">
        <v>340348</v>
      </c>
      <c r="C445" s="280">
        <v>3545233.5699999984</v>
      </c>
      <c r="D445" s="280">
        <v>18.932207858098597</v>
      </c>
      <c r="E445" s="281">
        <v>2.3466197210641893</v>
      </c>
    </row>
    <row r="446" spans="1:5" x14ac:dyDescent="0.3">
      <c r="A446" s="278" t="s">
        <v>20</v>
      </c>
      <c r="B446" s="279">
        <v>442563</v>
      </c>
      <c r="C446" s="280">
        <v>4398269.1100000031</v>
      </c>
      <c r="D446" s="280">
        <v>45.771303138926491</v>
      </c>
      <c r="E446" s="281">
        <v>4.5315869532524529</v>
      </c>
    </row>
    <row r="447" spans="1:5" ht="14.5" thickBot="1" x14ac:dyDescent="0.35">
      <c r="A447" s="282" t="s">
        <v>1</v>
      </c>
      <c r="B447" s="283">
        <v>6584576</v>
      </c>
      <c r="C447" s="284">
        <v>89241288.669999972</v>
      </c>
      <c r="D447" s="284">
        <v>22.621362684557578</v>
      </c>
      <c r="E447" s="285">
        <v>2.5980258140815868</v>
      </c>
    </row>
    <row r="450" spans="1:11" ht="31.5" customHeight="1" x14ac:dyDescent="0.3">
      <c r="A450" s="478" t="s">
        <v>271</v>
      </c>
      <c r="B450" s="479"/>
      <c r="C450" s="479"/>
      <c r="D450" s="479"/>
      <c r="E450" s="479"/>
      <c r="F450" s="479"/>
      <c r="G450" s="479"/>
      <c r="H450" s="479"/>
      <c r="I450" s="479"/>
      <c r="J450" s="479"/>
      <c r="K450" s="479"/>
    </row>
    <row r="451" spans="1:11" ht="14.5" thickBot="1" x14ac:dyDescent="0.35"/>
    <row r="452" spans="1:11" ht="34.5" x14ac:dyDescent="0.3">
      <c r="A452" s="274" t="s">
        <v>125</v>
      </c>
      <c r="B452" s="275" t="s">
        <v>146</v>
      </c>
      <c r="C452" s="276" t="s">
        <v>147</v>
      </c>
      <c r="D452" s="275" t="s">
        <v>151</v>
      </c>
      <c r="E452" s="277" t="s">
        <v>149</v>
      </c>
    </row>
    <row r="453" spans="1:11" x14ac:dyDescent="0.3">
      <c r="A453" s="278" t="s">
        <v>3</v>
      </c>
      <c r="B453" s="279">
        <v>71938</v>
      </c>
      <c r="C453" s="280">
        <v>357843.86</v>
      </c>
      <c r="D453" s="280">
        <v>2.0186267688011359</v>
      </c>
      <c r="E453" s="281">
        <v>0.40020269074667592</v>
      </c>
    </row>
    <row r="454" spans="1:11" x14ac:dyDescent="0.3">
      <c r="A454" s="278" t="s">
        <v>96</v>
      </c>
      <c r="B454" s="279">
        <v>2189</v>
      </c>
      <c r="C454" s="280">
        <v>10804.38</v>
      </c>
      <c r="D454" s="280">
        <v>2.5224777611098905</v>
      </c>
      <c r="E454" s="281">
        <v>0.42048756646994595</v>
      </c>
    </row>
    <row r="455" spans="1:11" x14ac:dyDescent="0.3">
      <c r="A455" s="278" t="s">
        <v>5</v>
      </c>
      <c r="B455" s="279">
        <v>125155</v>
      </c>
      <c r="C455" s="280">
        <v>619721.83000000007</v>
      </c>
      <c r="D455" s="280">
        <v>1.5575992518794637</v>
      </c>
      <c r="E455" s="281">
        <v>0.2977087780189922</v>
      </c>
    </row>
    <row r="456" spans="1:11" x14ac:dyDescent="0.3">
      <c r="A456" s="278" t="s">
        <v>23</v>
      </c>
      <c r="B456" s="279">
        <v>10809</v>
      </c>
      <c r="C456" s="280">
        <v>53773.43</v>
      </c>
      <c r="D456" s="280">
        <v>2.3595551725552957</v>
      </c>
      <c r="E456" s="281">
        <v>0.49988760453886544</v>
      </c>
    </row>
    <row r="457" spans="1:11" x14ac:dyDescent="0.3">
      <c r="A457" s="278" t="s">
        <v>24</v>
      </c>
      <c r="B457" s="279">
        <v>5861</v>
      </c>
      <c r="C457" s="280">
        <v>28555.219999999998</v>
      </c>
      <c r="D457" s="280">
        <v>1.3098035951699349</v>
      </c>
      <c r="E457" s="281">
        <v>0.25428042248681998</v>
      </c>
    </row>
    <row r="458" spans="1:11" x14ac:dyDescent="0.3">
      <c r="A458" s="278" t="s">
        <v>6</v>
      </c>
      <c r="B458" s="279">
        <v>57624</v>
      </c>
      <c r="C458" s="280">
        <v>287641.55</v>
      </c>
      <c r="D458" s="280">
        <v>1.3797712441123293</v>
      </c>
      <c r="E458" s="281">
        <v>0.28422588724436448</v>
      </c>
    </row>
    <row r="459" spans="1:11" x14ac:dyDescent="0.3">
      <c r="A459" s="278" t="s">
        <v>22</v>
      </c>
      <c r="B459" s="279">
        <v>7208</v>
      </c>
      <c r="C459" s="280">
        <v>35816.71</v>
      </c>
      <c r="D459" s="280">
        <v>0.74928278768182976</v>
      </c>
      <c r="E459" s="281">
        <v>0.1419122402851106</v>
      </c>
    </row>
    <row r="460" spans="1:11" x14ac:dyDescent="0.3">
      <c r="A460" s="278" t="s">
        <v>7</v>
      </c>
      <c r="B460" s="279">
        <v>25096</v>
      </c>
      <c r="C460" s="280">
        <v>124131.82</v>
      </c>
      <c r="D460" s="280">
        <v>2.3724367235817616</v>
      </c>
      <c r="E460" s="281">
        <v>0.38494948531547923</v>
      </c>
    </row>
    <row r="461" spans="1:11" x14ac:dyDescent="0.3">
      <c r="A461" s="278" t="s">
        <v>8</v>
      </c>
      <c r="B461" s="279">
        <v>62316</v>
      </c>
      <c r="C461" s="280">
        <v>312544.97000000003</v>
      </c>
      <c r="D461" s="280">
        <v>1.6978417494214844</v>
      </c>
      <c r="E461" s="281">
        <v>0.33688232808316559</v>
      </c>
    </row>
    <row r="462" spans="1:11" x14ac:dyDescent="0.3">
      <c r="A462" s="278" t="s">
        <v>9</v>
      </c>
      <c r="B462" s="279">
        <v>98942</v>
      </c>
      <c r="C462" s="280">
        <v>488270.4</v>
      </c>
      <c r="D462" s="280">
        <v>3.7161994479153009</v>
      </c>
      <c r="E462" s="281">
        <v>0.63253904829345531</v>
      </c>
    </row>
    <row r="463" spans="1:11" x14ac:dyDescent="0.3">
      <c r="A463" s="278" t="s">
        <v>10</v>
      </c>
      <c r="B463" s="279">
        <v>9205</v>
      </c>
      <c r="C463" s="280">
        <v>44571.450000000004</v>
      </c>
      <c r="D463" s="280">
        <v>1.4242132656854811</v>
      </c>
      <c r="E463" s="281">
        <v>0.24745627789223171</v>
      </c>
    </row>
    <row r="464" spans="1:11" x14ac:dyDescent="0.3">
      <c r="A464" s="278" t="s">
        <v>11</v>
      </c>
      <c r="B464" s="279">
        <v>19614</v>
      </c>
      <c r="C464" s="280">
        <v>97600.92</v>
      </c>
      <c r="D464" s="280">
        <v>1.6056830301296132</v>
      </c>
      <c r="E464" s="281">
        <v>0.31349760148526085</v>
      </c>
    </row>
    <row r="465" spans="1:11" x14ac:dyDescent="0.3">
      <c r="A465" s="278" t="s">
        <v>12</v>
      </c>
      <c r="B465" s="279">
        <v>106040</v>
      </c>
      <c r="C465" s="280">
        <v>520533.52</v>
      </c>
      <c r="D465" s="280">
        <v>2.3827989405563277</v>
      </c>
      <c r="E465" s="281">
        <v>0.43583228450371364</v>
      </c>
    </row>
    <row r="466" spans="1:11" x14ac:dyDescent="0.3">
      <c r="A466" s="278" t="s">
        <v>13</v>
      </c>
      <c r="B466" s="279">
        <v>23899</v>
      </c>
      <c r="C466" s="280">
        <v>121889.44</v>
      </c>
      <c r="D466" s="280">
        <v>2.3813205789545386</v>
      </c>
      <c r="E466" s="281">
        <v>0.4575745365156334</v>
      </c>
    </row>
    <row r="467" spans="1:11" x14ac:dyDescent="0.3">
      <c r="A467" s="278" t="s">
        <v>14</v>
      </c>
      <c r="B467" s="279">
        <v>4983</v>
      </c>
      <c r="C467" s="280">
        <v>25063.51</v>
      </c>
      <c r="D467" s="280">
        <v>2.1829364478684501</v>
      </c>
      <c r="E467" s="281">
        <v>0.40774125011036377</v>
      </c>
    </row>
    <row r="468" spans="1:11" x14ac:dyDescent="0.3">
      <c r="A468" s="278" t="s">
        <v>15</v>
      </c>
      <c r="B468" s="279">
        <v>69881</v>
      </c>
      <c r="C468" s="280">
        <v>351492.27</v>
      </c>
      <c r="D468" s="280">
        <v>1.6563434514672022</v>
      </c>
      <c r="E468" s="281">
        <v>0.30806406843012912</v>
      </c>
    </row>
    <row r="469" spans="1:11" x14ac:dyDescent="0.3">
      <c r="A469" s="278" t="s">
        <v>16</v>
      </c>
      <c r="B469" s="279">
        <v>62185</v>
      </c>
      <c r="C469" s="280">
        <v>321251.5</v>
      </c>
      <c r="D469" s="280">
        <v>1.7842155170170653</v>
      </c>
      <c r="E469" s="281">
        <v>0.39782526318796346</v>
      </c>
    </row>
    <row r="470" spans="1:11" x14ac:dyDescent="0.3">
      <c r="A470" s="278" t="s">
        <v>17</v>
      </c>
      <c r="B470" s="279">
        <v>13530</v>
      </c>
      <c r="C470" s="280">
        <v>68069.429999999993</v>
      </c>
      <c r="D470" s="280">
        <v>3.1453933591930379</v>
      </c>
      <c r="E470" s="281">
        <v>0.60492845583117505</v>
      </c>
    </row>
    <row r="471" spans="1:11" x14ac:dyDescent="0.3">
      <c r="A471" s="278" t="s">
        <v>18</v>
      </c>
      <c r="B471" s="279">
        <v>22607</v>
      </c>
      <c r="C471" s="280">
        <v>112125.75</v>
      </c>
      <c r="D471" s="280">
        <v>1.7703416836813306</v>
      </c>
      <c r="E471" s="281">
        <v>0.2942007643137452</v>
      </c>
    </row>
    <row r="472" spans="1:11" x14ac:dyDescent="0.3">
      <c r="A472" s="278" t="s">
        <v>19</v>
      </c>
      <c r="B472" s="279">
        <v>63773</v>
      </c>
      <c r="C472" s="280">
        <v>323634.79000000004</v>
      </c>
      <c r="D472" s="280">
        <v>1.7148243393138713</v>
      </c>
      <c r="E472" s="281">
        <v>0.32873614071633861</v>
      </c>
    </row>
    <row r="473" spans="1:11" x14ac:dyDescent="0.3">
      <c r="A473" s="278" t="s">
        <v>20</v>
      </c>
      <c r="B473" s="279">
        <v>46651</v>
      </c>
      <c r="C473" s="280">
        <v>228194.37</v>
      </c>
      <c r="D473" s="280">
        <v>3.4088813168371472</v>
      </c>
      <c r="E473" s="281">
        <v>0.67672729457779568</v>
      </c>
    </row>
    <row r="474" spans="1:11" ht="14.5" thickBot="1" x14ac:dyDescent="0.35">
      <c r="A474" s="282" t="s">
        <v>1</v>
      </c>
      <c r="B474" s="283">
        <v>909506</v>
      </c>
      <c r="C474" s="284">
        <v>4533531.12</v>
      </c>
      <c r="D474" s="284">
        <v>1.9431362662175822</v>
      </c>
      <c r="E474" s="285">
        <v>0.36900739380279596</v>
      </c>
    </row>
    <row r="477" spans="1:11" ht="36.75" customHeight="1" x14ac:dyDescent="0.3">
      <c r="A477" s="478" t="s">
        <v>272</v>
      </c>
      <c r="B477" s="479"/>
      <c r="C477" s="479"/>
      <c r="D477" s="479"/>
      <c r="E477" s="479"/>
      <c r="F477" s="479"/>
      <c r="G477" s="479"/>
      <c r="H477" s="479"/>
      <c r="I477" s="479"/>
      <c r="J477" s="479"/>
      <c r="K477" s="479"/>
    </row>
    <row r="478" spans="1:11" ht="14.5" thickBot="1" x14ac:dyDescent="0.35"/>
    <row r="479" spans="1:11" ht="56.25" customHeight="1" x14ac:dyDescent="0.3">
      <c r="A479" s="391" t="s">
        <v>76</v>
      </c>
      <c r="B479" s="286" t="s">
        <v>146</v>
      </c>
      <c r="C479" s="286" t="s">
        <v>186</v>
      </c>
      <c r="D479" s="286" t="s">
        <v>152</v>
      </c>
      <c r="E479" s="287" t="s">
        <v>187</v>
      </c>
    </row>
    <row r="480" spans="1:11" x14ac:dyDescent="0.3">
      <c r="A480" s="288" t="s">
        <v>3</v>
      </c>
      <c r="B480" s="289">
        <v>382718.72253999999</v>
      </c>
      <c r="C480" s="290">
        <v>785364.17999999993</v>
      </c>
      <c r="D480" s="401">
        <v>2.540013927427625</v>
      </c>
      <c r="E480" s="317">
        <v>4.085866487004326</v>
      </c>
    </row>
    <row r="481" spans="1:5" x14ac:dyDescent="0.3">
      <c r="A481" s="288" t="s">
        <v>96</v>
      </c>
      <c r="B481" s="289">
        <v>392</v>
      </c>
      <c r="C481" s="290">
        <v>698.60470999999995</v>
      </c>
      <c r="D481" s="401">
        <v>2.6944648811855645</v>
      </c>
      <c r="E481" s="317">
        <v>0.2060143922068107</v>
      </c>
    </row>
    <row r="482" spans="1:5" x14ac:dyDescent="0.3">
      <c r="A482" s="288" t="s">
        <v>5</v>
      </c>
      <c r="B482" s="289">
        <v>15017.25201</v>
      </c>
      <c r="C482" s="290">
        <v>840760.41999999993</v>
      </c>
      <c r="D482" s="401">
        <v>0.28019052956010088</v>
      </c>
      <c r="E482" s="317">
        <v>5.9807089135197215E-2</v>
      </c>
    </row>
    <row r="483" spans="1:5" x14ac:dyDescent="0.3">
      <c r="A483" s="288" t="s">
        <v>23</v>
      </c>
      <c r="B483" s="289">
        <v>1620</v>
      </c>
      <c r="C483" s="290">
        <v>4135.73434</v>
      </c>
      <c r="D483" s="401">
        <v>2.4598647644320422</v>
      </c>
      <c r="E483" s="317">
        <v>0.21028225782525681</v>
      </c>
    </row>
    <row r="484" spans="1:5" x14ac:dyDescent="0.3">
      <c r="A484" s="288" t="s">
        <v>24</v>
      </c>
      <c r="B484" s="289">
        <v>1</v>
      </c>
      <c r="C484" s="290">
        <v>0.02</v>
      </c>
      <c r="D484" s="401">
        <v>2.1903070153343391E-3</v>
      </c>
      <c r="E484" s="317">
        <v>1.80025234137069E-4</v>
      </c>
    </row>
    <row r="485" spans="1:5" x14ac:dyDescent="0.3">
      <c r="A485" s="288" t="s">
        <v>6</v>
      </c>
      <c r="B485" s="289">
        <v>12861.1</v>
      </c>
      <c r="C485" s="290">
        <v>59037.783280000003</v>
      </c>
      <c r="D485" s="401">
        <v>0.84216968906891387</v>
      </c>
      <c r="E485" s="317">
        <v>0.16531300467931029</v>
      </c>
    </row>
    <row r="486" spans="1:5" x14ac:dyDescent="0.3">
      <c r="A486" s="288" t="s">
        <v>22</v>
      </c>
      <c r="B486" s="289">
        <v>1322</v>
      </c>
      <c r="C486" s="290">
        <v>40832.600000000006</v>
      </c>
      <c r="D486" s="401">
        <v>0.59378960217068488</v>
      </c>
      <c r="E486" s="317">
        <v>5.6727029263285003E-2</v>
      </c>
    </row>
    <row r="487" spans="1:5" x14ac:dyDescent="0.3">
      <c r="A487" s="288" t="s">
        <v>7</v>
      </c>
      <c r="B487" s="289">
        <v>21100.10224</v>
      </c>
      <c r="C487" s="290">
        <v>145151.55963</v>
      </c>
      <c r="D487" s="401">
        <v>7.3910822002425061</v>
      </c>
      <c r="E487" s="317">
        <v>0.86607475093138586</v>
      </c>
    </row>
    <row r="488" spans="1:5" x14ac:dyDescent="0.3">
      <c r="A488" s="288" t="s">
        <v>8</v>
      </c>
      <c r="B488" s="289">
        <v>64686.464250000005</v>
      </c>
      <c r="C488" s="290">
        <v>103587.99133</v>
      </c>
      <c r="D488" s="401">
        <v>5.8180398591330178</v>
      </c>
      <c r="E488" s="317">
        <v>1.0159783512042704</v>
      </c>
    </row>
    <row r="489" spans="1:5" x14ac:dyDescent="0.3">
      <c r="A489" s="288" t="s">
        <v>9</v>
      </c>
      <c r="B489" s="289">
        <v>138815.00907999999</v>
      </c>
      <c r="C489" s="290">
        <v>250909.71000000002</v>
      </c>
      <c r="D489" s="401">
        <v>8.4530810729635046</v>
      </c>
      <c r="E489" s="317">
        <v>2.447530946426006</v>
      </c>
    </row>
    <row r="490" spans="1:5" x14ac:dyDescent="0.3">
      <c r="A490" s="288" t="s">
        <v>10</v>
      </c>
      <c r="B490" s="289">
        <v>8915.5319899999995</v>
      </c>
      <c r="C490" s="290">
        <v>31282.076150000001</v>
      </c>
      <c r="D490" s="401">
        <v>3.9090690401732018</v>
      </c>
      <c r="E490" s="317">
        <v>0.64973139202251839</v>
      </c>
    </row>
    <row r="491" spans="1:5" x14ac:dyDescent="0.3">
      <c r="A491" s="288" t="s">
        <v>11</v>
      </c>
      <c r="B491" s="289">
        <v>10768</v>
      </c>
      <c r="C491" s="290">
        <v>61682.729999999996</v>
      </c>
      <c r="D491" s="401">
        <v>1.9201982628354139</v>
      </c>
      <c r="E491" s="317">
        <v>0.42537866140645419</v>
      </c>
    </row>
    <row r="492" spans="1:5" x14ac:dyDescent="0.3">
      <c r="A492" s="288" t="s">
        <v>12</v>
      </c>
      <c r="B492" s="289">
        <v>12899.900000000001</v>
      </c>
      <c r="C492" s="290">
        <v>482491.81</v>
      </c>
      <c r="D492" s="401">
        <v>0.76441081550499201</v>
      </c>
      <c r="E492" s="317">
        <v>0.10936918167282383</v>
      </c>
    </row>
    <row r="493" spans="1:5" x14ac:dyDescent="0.3">
      <c r="A493" s="288" t="s">
        <v>13</v>
      </c>
      <c r="B493" s="289">
        <v>1461</v>
      </c>
      <c r="C493" s="290">
        <v>3932.6200000000003</v>
      </c>
      <c r="D493" s="401">
        <v>0.29179691670992997</v>
      </c>
      <c r="E493" s="317">
        <v>7.6548742934192074E-2</v>
      </c>
    </row>
    <row r="494" spans="1:5" x14ac:dyDescent="0.3">
      <c r="A494" s="288" t="s">
        <v>14</v>
      </c>
      <c r="B494" s="289">
        <v>1214</v>
      </c>
      <c r="C494" s="290">
        <v>62900.3</v>
      </c>
      <c r="D494" s="401">
        <v>1.035699774536126</v>
      </c>
      <c r="E494" s="317">
        <v>0.15852110803068947</v>
      </c>
    </row>
    <row r="495" spans="1:5" x14ac:dyDescent="0.3">
      <c r="A495" s="288" t="s">
        <v>15</v>
      </c>
      <c r="B495" s="289">
        <v>4813</v>
      </c>
      <c r="C495" s="290">
        <v>433967.52528000006</v>
      </c>
      <c r="D495" s="401">
        <v>8.6632889155260531E-2</v>
      </c>
      <c r="E495" s="317">
        <v>1.9938062210648054E-2</v>
      </c>
    </row>
    <row r="496" spans="1:5" x14ac:dyDescent="0.3">
      <c r="A496" s="288" t="s">
        <v>16</v>
      </c>
      <c r="B496" s="289">
        <v>814</v>
      </c>
      <c r="C496" s="290">
        <v>3249.72847</v>
      </c>
      <c r="D496" s="401">
        <v>0.19696867925692885</v>
      </c>
      <c r="E496" s="317">
        <v>1.3290252636256441E-2</v>
      </c>
    </row>
    <row r="497" spans="1:11" x14ac:dyDescent="0.3">
      <c r="A497" s="288" t="s">
        <v>17</v>
      </c>
      <c r="B497" s="289">
        <v>564.28570999999999</v>
      </c>
      <c r="C497" s="290">
        <v>2782.8</v>
      </c>
      <c r="D497" s="401">
        <v>0.3417486210334304</v>
      </c>
      <c r="E497" s="317">
        <v>6.8733188046187277E-2</v>
      </c>
    </row>
    <row r="498" spans="1:11" x14ac:dyDescent="0.3">
      <c r="A498" s="288" t="s">
        <v>18</v>
      </c>
      <c r="B498" s="289">
        <v>292</v>
      </c>
      <c r="C498" s="290">
        <v>2106.3403599999997</v>
      </c>
      <c r="D498" s="401">
        <v>2.772202927833111E-2</v>
      </c>
      <c r="E498" s="317">
        <v>6.6831727697360295E-3</v>
      </c>
    </row>
    <row r="499" spans="1:11" x14ac:dyDescent="0.3">
      <c r="A499" s="288" t="s">
        <v>19</v>
      </c>
      <c r="B499" s="289">
        <v>7163.1428599999999</v>
      </c>
      <c r="C499" s="290">
        <v>473151.02224999998</v>
      </c>
      <c r="D499" s="401">
        <v>0.36261260140966267</v>
      </c>
      <c r="E499" s="317">
        <v>5.0973743364418338E-2</v>
      </c>
    </row>
    <row r="500" spans="1:11" x14ac:dyDescent="0.3">
      <c r="A500" s="288" t="s">
        <v>20</v>
      </c>
      <c r="B500" s="289">
        <v>354</v>
      </c>
      <c r="C500" s="290">
        <v>24558.44153</v>
      </c>
      <c r="D500" s="401">
        <v>8.6752967644059126E-2</v>
      </c>
      <c r="E500" s="317">
        <v>7.9003621744158491E-3</v>
      </c>
    </row>
    <row r="501" spans="1:11" ht="14.5" thickBot="1" x14ac:dyDescent="0.35">
      <c r="A501" s="291" t="s">
        <v>1</v>
      </c>
      <c r="B501" s="292">
        <v>687792.51067999995</v>
      </c>
      <c r="C501" s="293">
        <v>3812583.9973299997</v>
      </c>
      <c r="D501" s="402">
        <v>1.7540104113543298</v>
      </c>
      <c r="E501" s="318">
        <v>0.61937887560078664</v>
      </c>
    </row>
    <row r="504" spans="1:11" ht="39.75" customHeight="1" x14ac:dyDescent="0.3">
      <c r="A504" s="478" t="s">
        <v>273</v>
      </c>
      <c r="B504" s="479"/>
      <c r="C504" s="479"/>
      <c r="D504" s="479"/>
      <c r="E504" s="479"/>
      <c r="F504" s="479"/>
      <c r="G504" s="479"/>
      <c r="H504" s="479"/>
      <c r="I504" s="479"/>
      <c r="J504" s="479"/>
      <c r="K504" s="479"/>
    </row>
    <row r="505" spans="1:11" ht="14.5" thickBot="1" x14ac:dyDescent="0.35"/>
    <row r="506" spans="1:11" ht="57" customHeight="1" x14ac:dyDescent="0.3">
      <c r="A506" s="391" t="s">
        <v>76</v>
      </c>
      <c r="B506" s="286" t="s">
        <v>146</v>
      </c>
      <c r="C506" s="286" t="s">
        <v>188</v>
      </c>
      <c r="D506" s="286" t="s">
        <v>153</v>
      </c>
      <c r="E506" s="287" t="s">
        <v>187</v>
      </c>
    </row>
    <row r="507" spans="1:11" x14ac:dyDescent="0.3">
      <c r="A507" s="288" t="s">
        <v>3</v>
      </c>
      <c r="B507" s="294">
        <v>964874.31679999991</v>
      </c>
      <c r="C507" s="295">
        <v>8669008.5800000001</v>
      </c>
      <c r="D507" s="401">
        <v>18.539550959766519</v>
      </c>
      <c r="E507" s="296">
        <v>7.2857540124965432</v>
      </c>
    </row>
    <row r="508" spans="1:11" x14ac:dyDescent="0.3">
      <c r="A508" s="288" t="s">
        <v>96</v>
      </c>
      <c r="B508" s="289">
        <v>12278</v>
      </c>
      <c r="C508" s="295">
        <v>43586.45822</v>
      </c>
      <c r="D508" s="401">
        <v>15.985247327033509</v>
      </c>
      <c r="E508" s="317">
        <v>3.5802760354010754</v>
      </c>
    </row>
    <row r="509" spans="1:11" x14ac:dyDescent="0.3">
      <c r="A509" s="288" t="s">
        <v>5</v>
      </c>
      <c r="B509" s="289">
        <v>71590.215849999993</v>
      </c>
      <c r="C509" s="295">
        <v>7783119.0800000001</v>
      </c>
      <c r="D509" s="401">
        <v>1.2061197394819194</v>
      </c>
      <c r="E509" s="317">
        <v>0.62194508419460615</v>
      </c>
    </row>
    <row r="510" spans="1:11" x14ac:dyDescent="0.3">
      <c r="A510" s="288" t="s">
        <v>23</v>
      </c>
      <c r="B510" s="289">
        <v>22797</v>
      </c>
      <c r="C510" s="295">
        <v>120757.36310000002</v>
      </c>
      <c r="D510" s="401">
        <v>9.5202921744839752</v>
      </c>
      <c r="E510" s="317">
        <v>2.4436492129850578</v>
      </c>
    </row>
    <row r="511" spans="1:11" x14ac:dyDescent="0.3">
      <c r="A511" s="288" t="s">
        <v>24</v>
      </c>
      <c r="B511" s="289">
        <v>59489</v>
      </c>
      <c r="C511" s="295">
        <v>333595.29000000004</v>
      </c>
      <c r="D511" s="401">
        <v>12.616168408325796</v>
      </c>
      <c r="E511" s="317">
        <v>5.7636368889827292</v>
      </c>
    </row>
    <row r="512" spans="1:11" x14ac:dyDescent="0.3">
      <c r="A512" s="288" t="s">
        <v>6</v>
      </c>
      <c r="B512" s="289">
        <v>393144.82</v>
      </c>
      <c r="C512" s="295">
        <v>4053159.0655199997</v>
      </c>
      <c r="D512" s="401">
        <v>10.161809095917624</v>
      </c>
      <c r="E512" s="317">
        <v>4.3544579152264715</v>
      </c>
    </row>
    <row r="513" spans="1:5" x14ac:dyDescent="0.3">
      <c r="A513" s="288" t="s">
        <v>22</v>
      </c>
      <c r="B513" s="289">
        <v>121524</v>
      </c>
      <c r="C513" s="295">
        <v>272599.27</v>
      </c>
      <c r="D513" s="401">
        <v>11.630890276233643</v>
      </c>
      <c r="E513" s="317">
        <v>2.0378180461344022</v>
      </c>
    </row>
    <row r="514" spans="1:5" x14ac:dyDescent="0.3">
      <c r="A514" s="288" t="s">
        <v>7</v>
      </c>
      <c r="B514" s="289">
        <v>285519.67858000001</v>
      </c>
      <c r="C514" s="295">
        <v>2849548.1436199998</v>
      </c>
      <c r="D514" s="401">
        <v>24.345120528326635</v>
      </c>
      <c r="E514" s="317">
        <v>6.7182961831425914</v>
      </c>
    </row>
    <row r="515" spans="1:5" x14ac:dyDescent="0.3">
      <c r="A515" s="288" t="s">
        <v>8</v>
      </c>
      <c r="B515" s="289">
        <v>571617.53810000001</v>
      </c>
      <c r="C515" s="295">
        <v>1924925.43811</v>
      </c>
      <c r="D515" s="401">
        <v>15.414754899850317</v>
      </c>
      <c r="E515" s="317">
        <v>4.2994257597974084</v>
      </c>
    </row>
    <row r="516" spans="1:5" x14ac:dyDescent="0.3">
      <c r="A516" s="288" t="s">
        <v>9</v>
      </c>
      <c r="B516" s="289">
        <v>537806.81571</v>
      </c>
      <c r="C516" s="295">
        <v>2851177.51</v>
      </c>
      <c r="D516" s="401">
        <v>17.43432062910675</v>
      </c>
      <c r="E516" s="317">
        <v>5.9200634146659343</v>
      </c>
    </row>
    <row r="517" spans="1:5" x14ac:dyDescent="0.3">
      <c r="A517" s="288" t="s">
        <v>10</v>
      </c>
      <c r="B517" s="289">
        <v>91729.589779999995</v>
      </c>
      <c r="C517" s="295">
        <v>227887.49966999999</v>
      </c>
      <c r="D517" s="401">
        <v>21.024230760819648</v>
      </c>
      <c r="E517" s="317">
        <v>2.6359959258839165</v>
      </c>
    </row>
    <row r="518" spans="1:5" x14ac:dyDescent="0.3">
      <c r="A518" s="288" t="s">
        <v>11</v>
      </c>
      <c r="B518" s="289">
        <v>331716</v>
      </c>
      <c r="C518" s="295">
        <v>4866958.82</v>
      </c>
      <c r="D518" s="401">
        <v>24.401337202107172</v>
      </c>
      <c r="E518" s="317">
        <v>9.1821887606032</v>
      </c>
    </row>
    <row r="519" spans="1:5" x14ac:dyDescent="0.3">
      <c r="A519" s="288" t="s">
        <v>12</v>
      </c>
      <c r="B519" s="289">
        <v>1203898.04</v>
      </c>
      <c r="C519" s="295">
        <v>4247494.9280000003</v>
      </c>
      <c r="D519" s="401">
        <v>22.287404433169982</v>
      </c>
      <c r="E519" s="317">
        <v>7.2342366453974192</v>
      </c>
    </row>
    <row r="520" spans="1:5" x14ac:dyDescent="0.3">
      <c r="A520" s="288" t="s">
        <v>13</v>
      </c>
      <c r="B520" s="289">
        <v>81556</v>
      </c>
      <c r="C520" s="295">
        <v>3162621.8299999996</v>
      </c>
      <c r="D520" s="401">
        <v>9.0245330328837632</v>
      </c>
      <c r="E520" s="317">
        <v>3.7360137845261909</v>
      </c>
    </row>
    <row r="521" spans="1:5" x14ac:dyDescent="0.3">
      <c r="A521" s="288" t="s">
        <v>14</v>
      </c>
      <c r="B521" s="289">
        <v>36465</v>
      </c>
      <c r="C521" s="295">
        <v>555363.25</v>
      </c>
      <c r="D521" s="401">
        <v>20.044774097945329</v>
      </c>
      <c r="E521" s="317">
        <v>6.1453688122531664</v>
      </c>
    </row>
    <row r="522" spans="1:5" x14ac:dyDescent="0.3">
      <c r="A522" s="288" t="s">
        <v>15</v>
      </c>
      <c r="B522" s="289">
        <v>486881</v>
      </c>
      <c r="C522" s="295">
        <v>10966024.828249997</v>
      </c>
      <c r="D522" s="401">
        <v>10.376814373234692</v>
      </c>
      <c r="E522" s="317">
        <v>5.8573418078334809</v>
      </c>
    </row>
    <row r="523" spans="1:5" x14ac:dyDescent="0.3">
      <c r="A523" s="288" t="s">
        <v>16</v>
      </c>
      <c r="B523" s="289">
        <v>304151.51667000004</v>
      </c>
      <c r="C523" s="295">
        <v>5325238.6500700004</v>
      </c>
      <c r="D523" s="401">
        <v>10.709226424422422</v>
      </c>
      <c r="E523" s="317">
        <v>5.7267082101973417</v>
      </c>
    </row>
    <row r="524" spans="1:5" x14ac:dyDescent="0.3">
      <c r="A524" s="288" t="s">
        <v>17</v>
      </c>
      <c r="B524" s="289">
        <v>25737.666669999999</v>
      </c>
      <c r="C524" s="295">
        <v>283418.34000000003</v>
      </c>
      <c r="D524" s="401">
        <v>7.6882556018476196</v>
      </c>
      <c r="E524" s="317">
        <v>3.1216529482263811</v>
      </c>
    </row>
    <row r="525" spans="1:5" x14ac:dyDescent="0.3">
      <c r="A525" s="288" t="s">
        <v>18</v>
      </c>
      <c r="B525" s="289">
        <v>279759.91665999999</v>
      </c>
      <c r="C525" s="295">
        <v>2160725.9135499997</v>
      </c>
      <c r="D525" s="401">
        <v>19.175263181986097</v>
      </c>
      <c r="E525" s="317">
        <v>6.7769390093033408</v>
      </c>
    </row>
    <row r="526" spans="1:5" x14ac:dyDescent="0.3">
      <c r="A526" s="288" t="s">
        <v>19</v>
      </c>
      <c r="B526" s="289">
        <v>916422.03333000001</v>
      </c>
      <c r="C526" s="295">
        <v>8302698.0712599996</v>
      </c>
      <c r="D526" s="401">
        <v>21.560278749110875</v>
      </c>
      <c r="E526" s="317">
        <v>8.6954452825781541</v>
      </c>
    </row>
    <row r="527" spans="1:5" x14ac:dyDescent="0.3">
      <c r="A527" s="288" t="s">
        <v>20</v>
      </c>
      <c r="B527" s="289">
        <v>55587.06667</v>
      </c>
      <c r="C527" s="295">
        <v>374277.21883000003</v>
      </c>
      <c r="D527" s="401">
        <v>17.11949528727261</v>
      </c>
      <c r="E527" s="317">
        <v>2.0727939667750017</v>
      </c>
    </row>
    <row r="528" spans="1:5" ht="14.5" thickBot="1" x14ac:dyDescent="0.35">
      <c r="A528" s="291" t="s">
        <v>1</v>
      </c>
      <c r="B528" s="292">
        <v>6854545.2148199994</v>
      </c>
      <c r="C528" s="293">
        <v>69374185.548199996</v>
      </c>
      <c r="D528" s="402">
        <v>13.681728843723212</v>
      </c>
      <c r="E528" s="318">
        <v>4.9921372194101554</v>
      </c>
    </row>
    <row r="531" spans="1:11" ht="42" customHeight="1" x14ac:dyDescent="0.3">
      <c r="A531" s="478" t="s">
        <v>274</v>
      </c>
      <c r="B531" s="479"/>
      <c r="C531" s="479"/>
      <c r="D531" s="479"/>
      <c r="E531" s="479"/>
      <c r="F531" s="479"/>
      <c r="G531" s="479"/>
      <c r="H531" s="479"/>
      <c r="I531" s="479"/>
      <c r="J531" s="479"/>
      <c r="K531" s="479"/>
    </row>
    <row r="532" spans="1:11" ht="14.5" thickBot="1" x14ac:dyDescent="0.35"/>
    <row r="533" spans="1:11" ht="34.5" x14ac:dyDescent="0.3">
      <c r="A533" s="391" t="s">
        <v>76</v>
      </c>
      <c r="B533" s="286" t="s">
        <v>146</v>
      </c>
      <c r="C533" s="286" t="s">
        <v>188</v>
      </c>
      <c r="D533" s="286" t="s">
        <v>154</v>
      </c>
      <c r="E533" s="287" t="s">
        <v>187</v>
      </c>
    </row>
    <row r="534" spans="1:11" x14ac:dyDescent="0.3">
      <c r="A534" s="297" t="s">
        <v>3</v>
      </c>
      <c r="B534" s="298">
        <v>5472.74</v>
      </c>
      <c r="C534" s="298">
        <v>12364.23</v>
      </c>
      <c r="D534" s="403">
        <v>0.10230268814712278</v>
      </c>
      <c r="E534" s="315">
        <v>2.8660272452470985E-2</v>
      </c>
    </row>
    <row r="535" spans="1:11" x14ac:dyDescent="0.3">
      <c r="A535" s="297" t="s">
        <v>96</v>
      </c>
      <c r="B535" s="298">
        <v>1</v>
      </c>
      <c r="C535" s="298">
        <v>2.0928900000000001</v>
      </c>
      <c r="D535" s="403">
        <v>9.5548400042041286E-3</v>
      </c>
      <c r="E535" s="315">
        <v>2.1805977324663122E-4</v>
      </c>
    </row>
    <row r="536" spans="1:11" x14ac:dyDescent="0.3">
      <c r="A536" s="297" t="s">
        <v>5</v>
      </c>
      <c r="B536" s="298">
        <v>40</v>
      </c>
      <c r="C536" s="298">
        <v>82.73</v>
      </c>
      <c r="D536" s="403">
        <v>4.256058676862292E-3</v>
      </c>
      <c r="E536" s="315">
        <v>1.7043020963404873E-4</v>
      </c>
    </row>
    <row r="537" spans="1:11" x14ac:dyDescent="0.3">
      <c r="A537" s="297" t="s">
        <v>23</v>
      </c>
      <c r="B537" s="298">
        <v>150</v>
      </c>
      <c r="C537" s="298">
        <v>361.6687</v>
      </c>
      <c r="D537" s="403">
        <v>0.13678580710465482</v>
      </c>
      <c r="E537" s="315">
        <v>7.4949877995179777E-3</v>
      </c>
    </row>
    <row r="538" spans="1:11" x14ac:dyDescent="0.3">
      <c r="A538" s="297" t="s">
        <v>24</v>
      </c>
      <c r="B538" s="298"/>
      <c r="C538" s="298"/>
      <c r="D538" s="403">
        <v>0</v>
      </c>
      <c r="E538" s="315">
        <v>0</v>
      </c>
    </row>
    <row r="539" spans="1:11" x14ac:dyDescent="0.3">
      <c r="A539" s="297" t="s">
        <v>6</v>
      </c>
      <c r="B539" s="298">
        <v>187</v>
      </c>
      <c r="C539" s="298">
        <v>761.17172000000005</v>
      </c>
      <c r="D539" s="403">
        <v>1.2609508733539741E-2</v>
      </c>
      <c r="E539" s="315">
        <v>6.1167411438198315E-4</v>
      </c>
    </row>
    <row r="540" spans="1:11" x14ac:dyDescent="0.3">
      <c r="A540" s="297" t="s">
        <v>22</v>
      </c>
      <c r="B540" s="298">
        <v>4</v>
      </c>
      <c r="C540" s="298">
        <v>7.72</v>
      </c>
      <c r="D540" s="403">
        <v>3.8873296377786247E-3</v>
      </c>
      <c r="E540" s="315">
        <v>1.7945617642895842E-4</v>
      </c>
    </row>
    <row r="541" spans="1:11" x14ac:dyDescent="0.3">
      <c r="A541" s="297" t="s">
        <v>7</v>
      </c>
      <c r="B541" s="298">
        <v>781.02</v>
      </c>
      <c r="C541" s="298">
        <v>2585.5177699999999</v>
      </c>
      <c r="D541" s="403">
        <v>0.18912385324599065</v>
      </c>
      <c r="E541" s="315">
        <v>1.1084047187780326E-2</v>
      </c>
    </row>
    <row r="542" spans="1:11" x14ac:dyDescent="0.3">
      <c r="A542" s="297" t="s">
        <v>8</v>
      </c>
      <c r="B542" s="298">
        <v>1006</v>
      </c>
      <c r="C542" s="298">
        <v>2527.239</v>
      </c>
      <c r="D542" s="403">
        <v>8.3465773618106573E-2</v>
      </c>
      <c r="E542" s="315">
        <v>9.6458400107369367E-3</v>
      </c>
    </row>
    <row r="543" spans="1:11" x14ac:dyDescent="0.3">
      <c r="A543" s="297" t="s">
        <v>9</v>
      </c>
      <c r="B543" s="298">
        <v>11183.06</v>
      </c>
      <c r="C543" s="298">
        <v>35565.4</v>
      </c>
      <c r="D543" s="403">
        <v>0.65701642636516244</v>
      </c>
      <c r="E543" s="315">
        <v>7.253104807406778E-2</v>
      </c>
    </row>
    <row r="544" spans="1:11" x14ac:dyDescent="0.3">
      <c r="A544" s="297" t="s">
        <v>10</v>
      </c>
      <c r="B544" s="298">
        <v>146</v>
      </c>
      <c r="C544" s="298">
        <v>456.64400000000001</v>
      </c>
      <c r="D544" s="403">
        <v>5.8772716338268416E-2</v>
      </c>
      <c r="E544" s="315">
        <v>3.1827888022753267E-3</v>
      </c>
    </row>
    <row r="545" spans="1:11" x14ac:dyDescent="0.3">
      <c r="A545" s="297" t="s">
        <v>11</v>
      </c>
      <c r="B545" s="298">
        <v>330</v>
      </c>
      <c r="C545" s="298">
        <v>856.91</v>
      </c>
      <c r="D545" s="403">
        <v>7.0943285572736964E-2</v>
      </c>
      <c r="E545" s="315">
        <v>5.7602276543038868E-3</v>
      </c>
    </row>
    <row r="546" spans="1:11" x14ac:dyDescent="0.3">
      <c r="A546" s="297" t="s">
        <v>12</v>
      </c>
      <c r="B546" s="298">
        <v>1472.66</v>
      </c>
      <c r="C546" s="298">
        <v>3229.84</v>
      </c>
      <c r="D546" s="403">
        <v>0.14177921983043454</v>
      </c>
      <c r="E546" s="315">
        <v>3.3912812511002507E-3</v>
      </c>
    </row>
    <row r="547" spans="1:11" x14ac:dyDescent="0.3">
      <c r="A547" s="297" t="s">
        <v>13</v>
      </c>
      <c r="B547" s="298">
        <v>17</v>
      </c>
      <c r="C547" s="298">
        <v>45.57</v>
      </c>
      <c r="D547" s="403">
        <v>5.5229700323646044E-3</v>
      </c>
      <c r="E547" s="315">
        <v>4.3359097610248701E-4</v>
      </c>
    </row>
    <row r="548" spans="1:11" x14ac:dyDescent="0.3">
      <c r="A548" s="297" t="s">
        <v>14</v>
      </c>
      <c r="B548" s="298">
        <v>39</v>
      </c>
      <c r="C548" s="298">
        <v>85.41</v>
      </c>
      <c r="D548" s="403">
        <v>9.5603056111027013E-2</v>
      </c>
      <c r="E548" s="315">
        <v>3.5454982692681909E-3</v>
      </c>
    </row>
    <row r="549" spans="1:11" x14ac:dyDescent="0.3">
      <c r="A549" s="297" t="s">
        <v>15</v>
      </c>
      <c r="B549" s="298">
        <v>29</v>
      </c>
      <c r="C549" s="298">
        <v>105.27</v>
      </c>
      <c r="D549" s="403">
        <v>5.5892186551780992E-3</v>
      </c>
      <c r="E549" s="315">
        <v>2.0083493797847543E-4</v>
      </c>
    </row>
    <row r="550" spans="1:11" x14ac:dyDescent="0.3">
      <c r="A550" s="297" t="s">
        <v>16</v>
      </c>
      <c r="B550" s="298">
        <v>143</v>
      </c>
      <c r="C550" s="298">
        <v>315.04115000000002</v>
      </c>
      <c r="D550" s="403">
        <v>2.8138382750989836E-2</v>
      </c>
      <c r="E550" s="315">
        <v>8.3635944252794805E-4</v>
      </c>
    </row>
    <row r="551" spans="1:11" x14ac:dyDescent="0.3">
      <c r="A551" s="297" t="s">
        <v>17</v>
      </c>
      <c r="B551" s="298">
        <v>27</v>
      </c>
      <c r="C551" s="298">
        <v>44.22</v>
      </c>
      <c r="D551" s="403">
        <v>2.3944170900431432E-2</v>
      </c>
      <c r="E551" s="315">
        <v>8.9830895709389449E-4</v>
      </c>
    </row>
    <row r="552" spans="1:11" x14ac:dyDescent="0.3">
      <c r="A552" s="297" t="s">
        <v>18</v>
      </c>
      <c r="B552" s="298">
        <v>11</v>
      </c>
      <c r="C552" s="298">
        <v>25.388000000000002</v>
      </c>
      <c r="D552" s="403">
        <v>6.4469835531002573E-3</v>
      </c>
      <c r="E552" s="315">
        <v>1.1775901191375184E-4</v>
      </c>
    </row>
    <row r="553" spans="1:11" x14ac:dyDescent="0.3">
      <c r="A553" s="297" t="s">
        <v>19</v>
      </c>
      <c r="B553" s="298">
        <v>287</v>
      </c>
      <c r="C553" s="298">
        <v>656.24409000000003</v>
      </c>
      <c r="D553" s="403">
        <v>5.4466501857829995E-2</v>
      </c>
      <c r="E553" s="315">
        <v>2.8917566259400638E-3</v>
      </c>
    </row>
    <row r="554" spans="1:11" x14ac:dyDescent="0.3">
      <c r="A554" s="297" t="s">
        <v>20</v>
      </c>
      <c r="B554" s="298">
        <v>10</v>
      </c>
      <c r="C554" s="298">
        <v>22.227689999999999</v>
      </c>
      <c r="D554" s="403">
        <v>4.3740992089441582E-3</v>
      </c>
      <c r="E554" s="315">
        <v>1.3314038962019067E-4</v>
      </c>
    </row>
    <row r="555" spans="1:11" ht="14.5" thickBot="1" x14ac:dyDescent="0.35">
      <c r="A555" s="291" t="s">
        <v>1</v>
      </c>
      <c r="B555" s="299">
        <v>21336.48</v>
      </c>
      <c r="C555" s="299">
        <v>60100.53501</v>
      </c>
      <c r="D555" s="404">
        <v>8.7328823515681789E-2</v>
      </c>
      <c r="E555" s="316">
        <v>8.683078165889483E-3</v>
      </c>
    </row>
    <row r="558" spans="1:11" ht="48" customHeight="1" x14ac:dyDescent="0.3">
      <c r="A558" s="478" t="s">
        <v>275</v>
      </c>
      <c r="B558" s="479"/>
      <c r="C558" s="479"/>
      <c r="D558" s="479"/>
      <c r="E558" s="479"/>
      <c r="F558" s="479"/>
      <c r="G558" s="479"/>
      <c r="H558" s="479"/>
      <c r="I558" s="479"/>
      <c r="J558" s="479"/>
      <c r="K558" s="479"/>
    </row>
    <row r="559" spans="1:11" ht="14.5" thickBot="1" x14ac:dyDescent="0.35"/>
    <row r="560" spans="1:11" ht="65" x14ac:dyDescent="0.3">
      <c r="A560" s="108" t="s">
        <v>155</v>
      </c>
      <c r="B560" s="109" t="s">
        <v>156</v>
      </c>
      <c r="C560" s="109" t="s">
        <v>146</v>
      </c>
      <c r="D560" s="110" t="s">
        <v>147</v>
      </c>
    </row>
    <row r="561" spans="1:4" x14ac:dyDescent="0.3">
      <c r="A561" s="79" t="s">
        <v>157</v>
      </c>
      <c r="B561" s="405">
        <v>7951859</v>
      </c>
      <c r="C561" s="405">
        <v>46833193</v>
      </c>
      <c r="D561" s="406">
        <v>513422535.19999999</v>
      </c>
    </row>
    <row r="562" spans="1:4" x14ac:dyDescent="0.3">
      <c r="A562" s="79" t="s">
        <v>158</v>
      </c>
      <c r="B562" s="405">
        <v>776786</v>
      </c>
      <c r="C562" s="300">
        <v>7563674.2055000002</v>
      </c>
      <c r="D562" s="301">
        <v>73246870.080539986</v>
      </c>
    </row>
    <row r="563" spans="1:4" ht="14.5" thickBot="1" x14ac:dyDescent="0.35">
      <c r="A563" s="107" t="s">
        <v>1</v>
      </c>
      <c r="B563" s="111"/>
      <c r="C563" s="111">
        <v>54396867.205499999</v>
      </c>
      <c r="D563" s="302">
        <v>586669405.28053999</v>
      </c>
    </row>
  </sheetData>
  <mergeCells count="83">
    <mergeCell ref="A111:K111"/>
    <mergeCell ref="A211:A213"/>
    <mergeCell ref="B211:G211"/>
    <mergeCell ref="H211:M211"/>
    <mergeCell ref="B212:C212"/>
    <mergeCell ref="E212:G212"/>
    <mergeCell ref="H212:I212"/>
    <mergeCell ref="K212:M212"/>
    <mergeCell ref="A197:A199"/>
    <mergeCell ref="B197:G197"/>
    <mergeCell ref="H197:M197"/>
    <mergeCell ref="B198:C198"/>
    <mergeCell ref="E198:G198"/>
    <mergeCell ref="H198:I198"/>
    <mergeCell ref="K198:M198"/>
    <mergeCell ref="A167:A169"/>
    <mergeCell ref="B167:G167"/>
    <mergeCell ref="H167:M167"/>
    <mergeCell ref="B168:C168"/>
    <mergeCell ref="E168:G168"/>
    <mergeCell ref="H168:I168"/>
    <mergeCell ref="K168:M168"/>
    <mergeCell ref="A153:A155"/>
    <mergeCell ref="B153:G153"/>
    <mergeCell ref="H153:M153"/>
    <mergeCell ref="B154:C154"/>
    <mergeCell ref="E154:G154"/>
    <mergeCell ref="H154:I154"/>
    <mergeCell ref="K154:M154"/>
    <mergeCell ref="A236:A237"/>
    <mergeCell ref="B236:E236"/>
    <mergeCell ref="G236:G237"/>
    <mergeCell ref="A477:K477"/>
    <mergeCell ref="A504:K504"/>
    <mergeCell ref="A531:K531"/>
    <mergeCell ref="A558:K558"/>
    <mergeCell ref="A262:K262"/>
    <mergeCell ref="A295:K295"/>
    <mergeCell ref="A376:K376"/>
    <mergeCell ref="A396:K396"/>
    <mergeCell ref="A423:K423"/>
    <mergeCell ref="A450:K450"/>
    <mergeCell ref="A321:L321"/>
    <mergeCell ref="B325:D325"/>
    <mergeCell ref="E325:G325"/>
    <mergeCell ref="H325:J325"/>
    <mergeCell ref="K325:M325"/>
    <mergeCell ref="A234:K234"/>
    <mergeCell ref="A1:K1"/>
    <mergeCell ref="A3:A5"/>
    <mergeCell ref="B3:G3"/>
    <mergeCell ref="H3:M3"/>
    <mergeCell ref="B4:C4"/>
    <mergeCell ref="E4:G4"/>
    <mergeCell ref="H4:J4"/>
    <mergeCell ref="K4:M4"/>
    <mergeCell ref="A30:K30"/>
    <mergeCell ref="A57:K57"/>
    <mergeCell ref="A84:K84"/>
    <mergeCell ref="A86:A87"/>
    <mergeCell ref="B86:F86"/>
    <mergeCell ref="A113:A115"/>
    <mergeCell ref="B113:G113"/>
    <mergeCell ref="H113:M113"/>
    <mergeCell ref="B114:C114"/>
    <mergeCell ref="E114:G114"/>
    <mergeCell ref="H114:I114"/>
    <mergeCell ref="K114:M114"/>
    <mergeCell ref="A127:A129"/>
    <mergeCell ref="B127:G127"/>
    <mergeCell ref="H127:M127"/>
    <mergeCell ref="B128:C128"/>
    <mergeCell ref="E128:G128"/>
    <mergeCell ref="H128:I128"/>
    <mergeCell ref="K128:M128"/>
    <mergeCell ref="N325:P325"/>
    <mergeCell ref="A349:A350"/>
    <mergeCell ref="B349:D349"/>
    <mergeCell ref="E349:G349"/>
    <mergeCell ref="H349:J349"/>
    <mergeCell ref="K349:M349"/>
    <mergeCell ref="N349:P349"/>
    <mergeCell ref="A325:A326"/>
  </mergeCells>
  <pageMargins left="0.7" right="0.7" top="0.75" bottom="0.75" header="0.3" footer="0.3"/>
  <pageSetup paperSize="9" scale="5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Strutture</vt:lpstr>
      <vt:lpstr>Personale</vt:lpstr>
      <vt:lpstr>Prevalenza e incidenza</vt:lpstr>
      <vt:lpstr>Territoriale</vt:lpstr>
      <vt:lpstr>Residenziale</vt:lpstr>
      <vt:lpstr>Semiresidenziale</vt:lpstr>
      <vt:lpstr>Cont Assistenziale</vt:lpstr>
      <vt:lpstr>Altre fonti informative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Cesare Miriam</dc:creator>
  <cp:lastModifiedBy>Di Cesare Miriam</cp:lastModifiedBy>
  <cp:lastPrinted>2016-09-23T10:34:45Z</cp:lastPrinted>
  <dcterms:created xsi:type="dcterms:W3CDTF">2014-11-18T17:16:50Z</dcterms:created>
  <dcterms:modified xsi:type="dcterms:W3CDTF">2026-03-20T08:00:58Z</dcterms:modified>
</cp:coreProperties>
</file>